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er\Documents\_XLWINGS_SPREADSHEET_REV02\"/>
    </mc:Choice>
  </mc:AlternateContent>
  <xr:revisionPtr revIDLastSave="0" documentId="13_ncr:1_{D1658C13-D97B-4BE9-81F5-CB4E2750C49A}" xr6:coauthVersionLast="47" xr6:coauthVersionMax="47" xr10:uidLastSave="{00000000-0000-0000-0000-000000000000}"/>
  <bookViews>
    <workbookView xWindow="-120" yWindow="-120" windowWidth="20730" windowHeight="11040" xr2:uid="{0D1D3C52-67B7-4AB2-9E1F-55AAF1AF3C4C}"/>
  </bookViews>
  <sheets>
    <sheet name="DIRECTIONAL - MWFRS (ASCE 7)" sheetId="1" r:id="rId1"/>
  </sheets>
  <definedNames>
    <definedName name="_xlnm.Print_Area" localSheetId="0">'DIRECTIONAL - MWFRS (ASCE 7)'!$A$1:$I$89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<sst xmlns="http://schemas.openxmlformats.org/spreadsheetml/2006/main" count="188" uniqueCount="121">
  <si>
    <t>Building Classification</t>
  </si>
  <si>
    <t>Enclosure Classification</t>
  </si>
  <si>
    <t>Exposure Category</t>
  </si>
  <si>
    <t>C</t>
  </si>
  <si>
    <t>Gust Effect Factor</t>
  </si>
  <si>
    <t>GCpi</t>
  </si>
  <si>
    <t xml:space="preserve">Wall Pressure Coefficient </t>
  </si>
  <si>
    <t xml:space="preserve">Height Above Ground Level </t>
  </si>
  <si>
    <t>Exposure</t>
  </si>
  <si>
    <t>Surface</t>
  </si>
  <si>
    <t>L/B</t>
  </si>
  <si>
    <t>Cp</t>
  </si>
  <si>
    <t>Use With</t>
  </si>
  <si>
    <t>m</t>
  </si>
  <si>
    <t>B</t>
  </si>
  <si>
    <t>D</t>
  </si>
  <si>
    <t>Windward wall</t>
  </si>
  <si>
    <t>All values</t>
  </si>
  <si>
    <t>qz</t>
  </si>
  <si>
    <t>Leeward Wall</t>
  </si>
  <si>
    <t>qh</t>
  </si>
  <si>
    <t>Sidewall</t>
  </si>
  <si>
    <t>Roof Pressure Coefficient</t>
  </si>
  <si>
    <t>Wind Direction</t>
  </si>
  <si>
    <t>h/L</t>
  </si>
  <si>
    <t>Windward</t>
  </si>
  <si>
    <t>Leeward</t>
  </si>
  <si>
    <t>Degrees</t>
  </si>
  <si>
    <t>&lt;0.25</t>
  </si>
  <si>
    <t>&gt;1</t>
  </si>
  <si>
    <t>Distance</t>
  </si>
  <si>
    <t>0 to h/2</t>
  </si>
  <si>
    <t>h/2 to h</t>
  </si>
  <si>
    <t>h to 2h</t>
  </si>
  <si>
    <t>&gt;2h</t>
  </si>
  <si>
    <t>&gt;=1.0</t>
  </si>
  <si>
    <t>&gt;h/2</t>
  </si>
  <si>
    <t>Internal Pressure</t>
  </si>
  <si>
    <t>Internal Pressure Coefficient</t>
  </si>
  <si>
    <t>Enclosed Buildings</t>
  </si>
  <si>
    <t>Moderate</t>
  </si>
  <si>
    <t>High</t>
  </si>
  <si>
    <t>Partially Open Buildings</t>
  </si>
  <si>
    <t>Open Buildings</t>
  </si>
  <si>
    <t>Negligible</t>
  </si>
  <si>
    <t>Partially Enclosed Buildings</t>
  </si>
  <si>
    <t>Kz Values</t>
  </si>
  <si>
    <t>EAVE HEIGHT (m)</t>
  </si>
  <si>
    <t>Direction of Ridge</t>
  </si>
  <si>
    <t>Risk Category IV</t>
  </si>
  <si>
    <t>APEX HEIGHT (m)</t>
  </si>
  <si>
    <t>Table loaded successfully into Pandas memory. Check the console for details.</t>
  </si>
  <si>
    <t>Normal to Ridge
for Angle &lt; 10 degrees</t>
  </si>
  <si>
    <t>Normal to Ridge
for Angle &gt;= 10 degrees</t>
  </si>
  <si>
    <t>* Enter comma separated values (should be less than eave height)</t>
  </si>
  <si>
    <t>OVERWRITES</t>
  </si>
  <si>
    <t>Angle (deg)</t>
  </si>
  <si>
    <t>Mean Roof Height (m)</t>
  </si>
  <si>
    <t>HEIGHTS TO CONSIDER  (m)</t>
  </si>
  <si>
    <t xml:space="preserve">* FUTURE DEVELOPMENT </t>
  </si>
  <si>
    <t>* LIMITATIONS</t>
  </si>
  <si>
    <t>A. This calculator is assumed to have symmetrical gable roof</t>
  </si>
  <si>
    <t>A. Automatic computation of exposure category depending on updwind conditions</t>
  </si>
  <si>
    <t>B. Automatic computaton of gust effect factor depending on building period</t>
  </si>
  <si>
    <t>B.  For cases of monoslope and mansard, please use overwrites for values of theta and h</t>
  </si>
  <si>
    <t>8, 10, 15, 18, 19</t>
  </si>
  <si>
    <t>Velocity Pressure Profile (qz) Table</t>
  </si>
  <si>
    <t>Height (m)</t>
  </si>
  <si>
    <t>Type</t>
  </si>
  <si>
    <t>Kz (B)</t>
  </si>
  <si>
    <t>qz (Pa)</t>
  </si>
  <si>
    <t>User Input</t>
  </si>
  <si>
    <t>Eave Height</t>
  </si>
  <si>
    <t>Mean Roof Height</t>
  </si>
  <si>
    <t>Apex Height</t>
  </si>
  <si>
    <t>Wall Pressure Coefficient (Cp) Table</t>
  </si>
  <si>
    <t>Wind direction</t>
  </si>
  <si>
    <t>All</t>
  </si>
  <si>
    <t>Leeward wall</t>
  </si>
  <si>
    <t>Normal to ridge</t>
  </si>
  <si>
    <t>Parallel to ridge</t>
  </si>
  <si>
    <t>Side wall</t>
  </si>
  <si>
    <t>Roof Pressure Coefficient (Cp) Table - Normal Wind Direction</t>
  </si>
  <si>
    <t>Windward roof</t>
  </si>
  <si>
    <t>Leeward roof</t>
  </si>
  <si>
    <t>Roof Pressure Coefficient (Cp) Table - Parallel Wind Direction</t>
  </si>
  <si>
    <t>Horizontal Distance from Windward Edge</t>
  </si>
  <si>
    <t>Roof (Parallel)</t>
  </si>
  <si>
    <t>MWFRS Pressure Summary Table - Normal Wind Direction</t>
  </si>
  <si>
    <t>z (m)</t>
  </si>
  <si>
    <t>q (Pa)</t>
  </si>
  <si>
    <t>G</t>
  </si>
  <si>
    <t>C_p</t>
  </si>
  <si>
    <t>Net (+GCpi)</t>
  </si>
  <si>
    <t>Net (-GCpi)</t>
  </si>
  <si>
    <t>Side walls</t>
  </si>
  <si>
    <t>Windward roof*</t>
  </si>
  <si>
    <t>—</t>
  </si>
  <si>
    <t>MWFRS Pressure Summary Table - Parallel Wind Direction</t>
  </si>
  <si>
    <t>Roof (Roof (0 to h/2))</t>
  </si>
  <si>
    <t>Roof (h/2 to h)</t>
  </si>
  <si>
    <t>Roof (h to 2h)</t>
  </si>
  <si>
    <t>Roof (&gt;2h)</t>
  </si>
  <si>
    <t>PDF Exported Successfully!</t>
  </si>
  <si>
    <t>10°</t>
  </si>
  <si>
    <t>14.0°</t>
  </si>
  <si>
    <t>15°</t>
  </si>
  <si>
    <t>h/L = 0.56</t>
  </si>
  <si>
    <t>-0.95, -0.18*</t>
  </si>
  <si>
    <t>-0.88, -0.18*</t>
  </si>
  <si>
    <t>-0.53, -0.18*</t>
  </si>
  <si>
    <t>-0.35, -0.18*</t>
  </si>
  <si>
    <t>*Still not working</t>
  </si>
  <si>
    <t>C. Addition for Components and Cladding</t>
  </si>
  <si>
    <r>
      <t>Basic Wind Speed</t>
    </r>
    <r>
      <rPr>
        <sz val="11.5"/>
        <color theme="1"/>
        <rFont val="Computer Modern"/>
      </rPr>
      <t xml:space="preserve"> (m/s)</t>
    </r>
  </si>
  <si>
    <r>
      <t xml:space="preserve">Wind Directionality Factor </t>
    </r>
    <r>
      <rPr>
        <sz val="11.5"/>
        <color theme="1"/>
        <rFont val="Computer Modern"/>
      </rPr>
      <t>(Kd)</t>
    </r>
  </si>
  <si>
    <r>
      <t xml:space="preserve">Topographic Factor </t>
    </r>
    <r>
      <rPr>
        <sz val="11.5"/>
        <color theme="1"/>
        <rFont val="Computer Modern"/>
      </rPr>
      <t>(Kzt)</t>
    </r>
  </si>
  <si>
    <r>
      <t xml:space="preserve">Ground Elevation Factor </t>
    </r>
    <r>
      <rPr>
        <sz val="11.5"/>
        <color theme="1"/>
        <rFont val="Computer Modern"/>
      </rPr>
      <t>(Ke)</t>
    </r>
  </si>
  <si>
    <r>
      <t xml:space="preserve">Velocity Pressure </t>
    </r>
    <r>
      <rPr>
        <sz val="11.5"/>
        <color theme="1"/>
        <rFont val="Computer Modern"/>
      </rPr>
      <t>(Kz Pa)</t>
    </r>
  </si>
  <si>
    <r>
      <t xml:space="preserve">L </t>
    </r>
    <r>
      <rPr>
        <sz val="11.5"/>
        <color theme="1"/>
        <rFont val="Computer Modern"/>
      </rPr>
      <t>(m)</t>
    </r>
  </si>
  <si>
    <r>
      <t xml:space="preserve">B </t>
    </r>
    <r>
      <rPr>
        <sz val="11.5"/>
        <color theme="1"/>
        <rFont val="Computer Modern"/>
      </rPr>
      <t>(m)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</si>
</sst>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5"/>
      <color rgb="FF000000"/>
      <name val="Aptos Narrow"/>
      <family val="2"/>
    </font>
    <font>
      <sz val="9"/>
      <color theme="1"/>
      <name val="Computer Modern"/>
    </font>
    <font>
      <sz val="11"/>
      <color theme="1"/>
      <name val="Computer Modern"/>
    </font>
    <font>
      <b/>
      <sz val="11.5"/>
      <color theme="1"/>
      <name val="Computer Modern"/>
    </font>
    <font>
      <sz val="11.5"/>
      <color theme="1"/>
      <name val="Computer Modern"/>
    </font>
    <font>
      <b/>
      <sz val="8"/>
      <color theme="1"/>
      <name val="Computer Modern"/>
    </font>
    <font>
      <b/>
      <sz val="8"/>
      <color rgb="FF002060"/>
      <name val="Computer Modern"/>
    </font>
    <font>
      <sz val="8"/>
      <color theme="1"/>
      <name val="Computer Modern"/>
    </font>
    <font>
      <b/>
      <sz val="9"/>
      <color theme="1"/>
      <name val="Computer Modern"/>
    </font>
    <font>
      <i/>
      <sz val="9"/>
      <color theme="1"/>
      <name val="Computer Modern"/>
    </font>
    <font>
      <b/>
      <sz val="11"/>
      <color theme="1"/>
      <name val="Computer Modern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4" fillId="0" borderId="10" xfId="0" applyFont="1" applyBorder="1"/>
    <xf numFmtId="0" fontId="5" fillId="3" borderId="11" xfId="0" applyFont="1" applyFill="1" applyBorder="1" applyAlignment="1">
      <alignment horizontal="right"/>
    </xf>
    <xf numFmtId="0" fontId="4" fillId="0" borderId="11" xfId="0" applyFont="1" applyBorder="1"/>
    <xf numFmtId="0" fontId="5" fillId="0" borderId="1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4" xfId="0" applyFont="1" applyBorder="1"/>
    <xf numFmtId="2" fontId="5" fillId="2" borderId="5" xfId="0" applyNumberFormat="1" applyFont="1" applyFill="1" applyBorder="1" applyAlignment="1">
      <alignment horizontal="right"/>
    </xf>
    <xf numFmtId="0" fontId="5" fillId="0" borderId="5" xfId="0" applyFont="1" applyBorder="1"/>
    <xf numFmtId="0" fontId="5" fillId="2" borderId="6" xfId="0" applyFont="1" applyFill="1" applyBorder="1"/>
    <xf numFmtId="0" fontId="6" fillId="0" borderId="1" xfId="0" applyFont="1" applyBorder="1"/>
    <xf numFmtId="0" fontId="6" fillId="0" borderId="12" xfId="0" applyFont="1" applyBorder="1"/>
    <xf numFmtId="0" fontId="6" fillId="0" borderId="3" xfId="0" applyFont="1" applyBorder="1"/>
    <xf numFmtId="0" fontId="5" fillId="2" borderId="5" xfId="0" applyFont="1" applyFill="1" applyBorder="1" applyAlignment="1">
      <alignment horizontal="right"/>
    </xf>
    <xf numFmtId="0" fontId="5" fillId="0" borderId="8" xfId="0" applyFont="1" applyBorder="1"/>
    <xf numFmtId="0" fontId="5" fillId="2" borderId="9" xfId="0" applyFont="1" applyFill="1" applyBorder="1"/>
    <xf numFmtId="0" fontId="6" fillId="0" borderId="4" xfId="0" applyFont="1" applyBorder="1"/>
    <xf numFmtId="0" fontId="6" fillId="0" borderId="0" xfId="0" applyFont="1"/>
    <xf numFmtId="0" fontId="6" fillId="0" borderId="6" xfId="0" applyFont="1" applyBorder="1"/>
    <xf numFmtId="0" fontId="7" fillId="0" borderId="4" xfId="0" applyFont="1" applyBorder="1"/>
    <xf numFmtId="0" fontId="7" fillId="4" borderId="4" xfId="0" applyFont="1" applyFill="1" applyBorder="1"/>
    <xf numFmtId="0" fontId="8" fillId="0" borderId="4" xfId="0" applyFont="1" applyBorder="1"/>
    <xf numFmtId="0" fontId="8" fillId="0" borderId="0" xfId="0" applyFont="1" applyAlignment="1">
      <alignment horizontal="right"/>
    </xf>
    <xf numFmtId="0" fontId="8" fillId="0" borderId="6" xfId="0" applyFont="1" applyBorder="1" applyAlignment="1">
      <alignment horizontal="right"/>
    </xf>
    <xf numFmtId="0" fontId="9" fillId="0" borderId="0" xfId="0" applyFont="1"/>
    <xf numFmtId="0" fontId="8" fillId="0" borderId="0" xfId="0" applyFont="1"/>
    <xf numFmtId="0" fontId="8" fillId="0" borderId="6" xfId="0" applyFont="1" applyBorder="1"/>
    <xf numFmtId="0" fontId="4" fillId="0" borderId="1" xfId="0" applyFont="1" applyBorder="1"/>
    <xf numFmtId="2" fontId="4" fillId="0" borderId="2" xfId="0" applyNumberFormat="1" applyFont="1" applyBorder="1" applyAlignment="1">
      <alignment horizontal="right"/>
    </xf>
    <xf numFmtId="0" fontId="8" fillId="0" borderId="7" xfId="0" applyFont="1" applyBorder="1"/>
    <xf numFmtId="0" fontId="8" fillId="0" borderId="13" xfId="0" applyFont="1" applyBorder="1" applyAlignment="1">
      <alignment horizontal="right"/>
    </xf>
    <xf numFmtId="0" fontId="8" fillId="0" borderId="9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5" fillId="0" borderId="4" xfId="0" applyFont="1" applyBorder="1"/>
    <xf numFmtId="0" fontId="8" fillId="0" borderId="12" xfId="0" applyFont="1" applyBorder="1"/>
    <xf numFmtId="0" fontId="8" fillId="0" borderId="3" xfId="0" applyFont="1" applyBorder="1"/>
    <xf numFmtId="0" fontId="5" fillId="2" borderId="2" xfId="0" applyFont="1" applyFill="1" applyBorder="1" applyAlignment="1">
      <alignment horizontal="right"/>
    </xf>
    <xf numFmtId="0" fontId="7" fillId="0" borderId="0" xfId="0" applyFont="1"/>
    <xf numFmtId="0" fontId="6" fillId="0" borderId="4" xfId="0" applyFont="1" applyBorder="1" applyAlignment="1">
      <alignment wrapText="1"/>
    </xf>
    <xf numFmtId="0" fontId="4" fillId="0" borderId="7" xfId="0" applyFont="1" applyBorder="1" applyAlignment="1">
      <alignment horizontal="left" vertical="center"/>
    </xf>
    <xf numFmtId="0" fontId="5" fillId="2" borderId="8" xfId="0" applyFont="1" applyFill="1" applyBorder="1" applyAlignment="1">
      <alignment horizontal="right" vertical="center"/>
    </xf>
    <xf numFmtId="0" fontId="10" fillId="0" borderId="0" xfId="0" applyFont="1"/>
    <xf numFmtId="0" fontId="5" fillId="0" borderId="0" xfId="0" applyFont="1" applyAlignment="1">
      <alignment horizontal="right"/>
    </xf>
    <xf numFmtId="0" fontId="5" fillId="2" borderId="3" xfId="0" applyFont="1" applyFill="1" applyBorder="1" applyAlignment="1">
      <alignment horizontal="right"/>
    </xf>
    <xf numFmtId="0" fontId="4" fillId="0" borderId="7" xfId="0" applyFont="1" applyBorder="1"/>
    <xf numFmtId="0" fontId="5" fillId="2" borderId="9" xfId="0" applyFont="1" applyFill="1" applyBorder="1" applyAlignment="1">
      <alignment horizontal="right"/>
    </xf>
    <xf numFmtId="0" fontId="6" fillId="0" borderId="7" xfId="0" applyFont="1" applyBorder="1" applyAlignment="1">
      <alignment wrapText="1"/>
    </xf>
    <xf numFmtId="0" fontId="8" fillId="0" borderId="13" xfId="0" applyFont="1" applyBorder="1"/>
    <xf numFmtId="0" fontId="8" fillId="0" borderId="9" xfId="0" applyFont="1" applyBorder="1"/>
    <xf numFmtId="0" fontId="7" fillId="0" borderId="12" xfId="0" applyFont="1" applyBorder="1"/>
    <xf numFmtId="0" fontId="11" fillId="0" borderId="0" xfId="0" applyFont="1"/>
    <xf numFmtId="0" fontId="3" fillId="0" borderId="11" xfId="0" applyFont="1" applyBorder="1"/>
    <xf numFmtId="0" fontId="3" fillId="0" borderId="5" xfId="0" applyFont="1" applyBorder="1"/>
    <xf numFmtId="0" fontId="7" fillId="0" borderId="1" xfId="0" applyFont="1" applyBorder="1"/>
    <xf numFmtId="0" fontId="3" fillId="0" borderId="8" xfId="0" applyFont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19</xdr:row>
          <xdr:rowOff>123825</xdr:rowOff>
        </xdr:from>
        <xdr:to>
          <xdr:col>1</xdr:col>
          <xdr:colOff>2219325</xdr:colOff>
          <xdr:row>22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Aptos Narrow"/>
                </a:rPr>
                <a:t>Calculate Wind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19</xdr:row>
          <xdr:rowOff>114300</xdr:rowOff>
        </xdr:from>
        <xdr:to>
          <xdr:col>2</xdr:col>
          <xdr:colOff>2200275</xdr:colOff>
          <xdr:row>21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Aptos Narrow"/>
                </a:rPr>
                <a:t>Export Calcs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CE4E-F45A-48E5-B358-4DBC50D76AE3}">
  <sheetPr codeName="Sheet1">
    <pageSetUpPr fitToPage="1"/>
  </sheetPr>
  <dimension ref="A1:AC1000"/>
  <sheetViews>
    <sheetView tabSelected="1" view="pageBreakPreview" zoomScale="55" zoomScaleNormal="100" zoomScaleSheetLayoutView="55" workbookViewId="0">
      <selection activeCell="M33" sqref="M33"/>
    </sheetView>
  </sheetViews>
  <sheetFormatPr defaultRowHeight="14.25" x14ac:dyDescent="0.2"/>
  <cols>
    <col min="1" max="1" width="9.140625" style="3"/>
    <col min="2" max="2" width="39.5703125" style="3" customWidth="1"/>
    <col min="3" max="3" width="33.140625" style="57" customWidth="1"/>
    <col min="4" max="4" width="15.28515625" style="3" customWidth="1"/>
    <col min="5" max="5" width="24" style="3" customWidth="1"/>
    <col min="6" max="6" width="14.42578125" style="3" customWidth="1"/>
    <col min="7" max="7" width="16.7109375" style="3" customWidth="1"/>
    <col min="8" max="8" width="15.42578125" style="3" customWidth="1"/>
    <col min="9" max="11" width="9.140625" style="3"/>
    <col min="12" max="12" width="13.7109375" style="3" customWidth="1"/>
    <col min="13" max="13" width="20.42578125" style="3" customWidth="1"/>
    <col min="14" max="17" width="9.140625" style="3" customWidth="1"/>
    <col min="18" max="16384" width="9.140625" style="3"/>
  </cols>
  <sheetData>
    <row r="1" spans="1:29" x14ac:dyDescent="0.2">
      <c r="A1" s="1"/>
      <c r="B1" s="1"/>
      <c r="C1" s="2"/>
      <c r="D1" s="1"/>
      <c r="E1" s="1"/>
    </row>
    <row r="2" spans="1:29" ht="15" x14ac:dyDescent="0.25">
      <c r="A2" s="1"/>
      <c r="B2" s="4" t="s">
        <v>0</v>
      </c>
      <c r="C2" s="5" t="s">
        <v>49</v>
      </c>
      <c r="D2" s="2"/>
      <c r="E2" s="6" t="s">
        <v>55</v>
      </c>
      <c r="F2" s="7" t="b">
        <v>0</v>
      </c>
      <c r="G2" s="1" t="s">
        <v>112</v>
      </c>
      <c r="H2" s="1"/>
    </row>
    <row r="3" spans="1:29" ht="15" x14ac:dyDescent="0.25">
      <c r="A3" s="1"/>
      <c r="B3" s="8" t="s">
        <v>114</v>
      </c>
      <c r="C3" s="9">
        <f>220*1000/3600</f>
        <v>61.111111111111114</v>
      </c>
      <c r="D3" s="2"/>
      <c r="E3" s="10" t="s">
        <v>56</v>
      </c>
      <c r="F3" s="11"/>
      <c r="G3" s="1"/>
      <c r="H3" s="1"/>
      <c r="L3" s="12" t="s">
        <v>46</v>
      </c>
      <c r="M3" s="13"/>
      <c r="N3" s="13"/>
      <c r="O3" s="14"/>
      <c r="Q3" s="12" t="s">
        <v>6</v>
      </c>
      <c r="R3" s="13"/>
      <c r="S3" s="13"/>
      <c r="T3" s="14"/>
    </row>
    <row r="4" spans="1:29" ht="15" x14ac:dyDescent="0.25">
      <c r="A4" s="1"/>
      <c r="B4" s="8" t="s">
        <v>1</v>
      </c>
      <c r="C4" s="15" t="s">
        <v>45</v>
      </c>
      <c r="D4" s="2"/>
      <c r="E4" s="16" t="s">
        <v>57</v>
      </c>
      <c r="F4" s="17"/>
      <c r="G4" s="1"/>
      <c r="H4" s="1"/>
      <c r="L4" s="18" t="s">
        <v>7</v>
      </c>
      <c r="M4" s="19" t="s">
        <v>8</v>
      </c>
      <c r="N4" s="19"/>
      <c r="O4" s="20"/>
      <c r="Q4" s="21" t="s">
        <v>9</v>
      </c>
      <c r="R4" s="19" t="s">
        <v>10</v>
      </c>
      <c r="S4" s="19" t="s">
        <v>11</v>
      </c>
      <c r="T4" s="20" t="s">
        <v>12</v>
      </c>
    </row>
    <row r="5" spans="1:29" ht="15" x14ac:dyDescent="0.25">
      <c r="A5" s="1"/>
      <c r="B5" s="8" t="s">
        <v>2</v>
      </c>
      <c r="C5" s="15" t="s">
        <v>14</v>
      </c>
      <c r="D5" s="2"/>
      <c r="E5" s="1"/>
      <c r="F5" s="1"/>
      <c r="G5" s="1"/>
      <c r="H5" s="1"/>
      <c r="L5" s="22" t="s">
        <v>13</v>
      </c>
      <c r="M5" s="19" t="s">
        <v>14</v>
      </c>
      <c r="N5" s="19" t="s">
        <v>3</v>
      </c>
      <c r="O5" s="20" t="s">
        <v>15</v>
      </c>
      <c r="Q5" s="23" t="s">
        <v>16</v>
      </c>
      <c r="R5" s="24" t="s">
        <v>17</v>
      </c>
      <c r="S5" s="24">
        <v>0.8</v>
      </c>
      <c r="T5" s="25" t="s">
        <v>18</v>
      </c>
    </row>
    <row r="6" spans="1:29" ht="15" x14ac:dyDescent="0.25">
      <c r="A6" s="1"/>
      <c r="B6" s="8" t="s">
        <v>115</v>
      </c>
      <c r="C6" s="15">
        <v>0.85</v>
      </c>
      <c r="D6" s="2"/>
      <c r="E6" s="26" t="s">
        <v>60</v>
      </c>
      <c r="F6" s="1"/>
      <c r="G6" s="1"/>
      <c r="H6" s="1"/>
      <c r="L6" s="23">
        <v>0</v>
      </c>
      <c r="M6" s="27">
        <v>0.56999999999999995</v>
      </c>
      <c r="N6" s="27">
        <v>0.85</v>
      </c>
      <c r="O6" s="28">
        <v>1.03</v>
      </c>
      <c r="Q6" s="23" t="s">
        <v>19</v>
      </c>
      <c r="R6" s="24">
        <v>0</v>
      </c>
      <c r="S6" s="24">
        <v>-0.5</v>
      </c>
      <c r="T6" s="25" t="s">
        <v>20</v>
      </c>
    </row>
    <row r="7" spans="1:29" ht="15" x14ac:dyDescent="0.25">
      <c r="A7" s="1"/>
      <c r="B7" s="8" t="s">
        <v>116</v>
      </c>
      <c r="C7" s="15">
        <v>1</v>
      </c>
      <c r="D7" s="2"/>
      <c r="E7" s="1" t="s">
        <v>61</v>
      </c>
      <c r="G7" s="1"/>
      <c r="H7" s="1"/>
      <c r="L7" s="23">
        <v>4.5999999999999996</v>
      </c>
      <c r="M7" s="27">
        <v>0.56999999999999995</v>
      </c>
      <c r="N7" s="27">
        <v>0.85</v>
      </c>
      <c r="O7" s="28">
        <v>1.03</v>
      </c>
      <c r="Q7" s="23" t="s">
        <v>19</v>
      </c>
      <c r="R7" s="24">
        <v>1</v>
      </c>
      <c r="S7" s="24">
        <v>-0.5</v>
      </c>
      <c r="T7" s="25" t="s">
        <v>20</v>
      </c>
    </row>
    <row r="8" spans="1:29" ht="15" x14ac:dyDescent="0.25">
      <c r="A8" s="1"/>
      <c r="B8" s="8" t="s">
        <v>117</v>
      </c>
      <c r="C8" s="15">
        <v>1</v>
      </c>
      <c r="D8" s="2"/>
      <c r="E8" s="1" t="s">
        <v>64</v>
      </c>
      <c r="G8" s="1"/>
      <c r="H8" s="1"/>
      <c r="L8" s="23">
        <v>6.1</v>
      </c>
      <c r="M8" s="27">
        <v>0.62</v>
      </c>
      <c r="N8" s="27">
        <v>0.9</v>
      </c>
      <c r="O8" s="28">
        <v>1.08</v>
      </c>
      <c r="Q8" s="23" t="s">
        <v>19</v>
      </c>
      <c r="R8" s="24">
        <v>2</v>
      </c>
      <c r="S8" s="24">
        <v>-0.3</v>
      </c>
      <c r="T8" s="25" t="s">
        <v>20</v>
      </c>
    </row>
    <row r="9" spans="1:29" ht="15" x14ac:dyDescent="0.25">
      <c r="A9" s="1"/>
      <c r="B9" s="8" t="s">
        <v>4</v>
      </c>
      <c r="C9" s="15">
        <v>0.85</v>
      </c>
      <c r="D9" s="1"/>
      <c r="E9" s="1"/>
      <c r="F9" s="1"/>
      <c r="G9" s="1"/>
      <c r="H9" s="1"/>
      <c r="L9" s="23">
        <v>7.6</v>
      </c>
      <c r="M9" s="27">
        <v>0.66</v>
      </c>
      <c r="N9" s="27">
        <v>0.94</v>
      </c>
      <c r="O9" s="28">
        <v>1.1200000000000001</v>
      </c>
      <c r="Q9" s="23" t="s">
        <v>19</v>
      </c>
      <c r="R9" s="24">
        <v>4</v>
      </c>
      <c r="S9" s="24">
        <v>-0.2</v>
      </c>
      <c r="T9" s="25" t="s">
        <v>20</v>
      </c>
    </row>
    <row r="10" spans="1:29" ht="15" x14ac:dyDescent="0.25">
      <c r="A10" s="1"/>
      <c r="B10" s="29" t="s">
        <v>118</v>
      </c>
      <c r="C10" s="30">
        <v>1945.8969999999999</v>
      </c>
      <c r="D10" s="2"/>
      <c r="E10" s="1"/>
      <c r="F10" s="1"/>
      <c r="G10" s="1"/>
      <c r="H10" s="1"/>
      <c r="L10" s="23">
        <v>9.1</v>
      </c>
      <c r="M10" s="27">
        <v>0.7</v>
      </c>
      <c r="N10" s="27">
        <v>0.98</v>
      </c>
      <c r="O10" s="28">
        <v>1.1599999999999999</v>
      </c>
      <c r="Q10" s="31" t="s">
        <v>21</v>
      </c>
      <c r="R10" s="32" t="s">
        <v>17</v>
      </c>
      <c r="S10" s="32">
        <v>-0.7</v>
      </c>
      <c r="T10" s="33" t="s">
        <v>20</v>
      </c>
    </row>
    <row r="11" spans="1:29" ht="15" x14ac:dyDescent="0.25">
      <c r="A11" s="1"/>
      <c r="B11" s="8" t="s">
        <v>5</v>
      </c>
      <c r="C11" s="34">
        <v>0.55000000000000004</v>
      </c>
      <c r="D11" s="1"/>
      <c r="E11" s="26" t="s">
        <v>59</v>
      </c>
      <c r="F11" s="1"/>
      <c r="G11" s="1"/>
      <c r="H11" s="1"/>
      <c r="L11" s="23">
        <v>12.2</v>
      </c>
      <c r="M11" s="27">
        <v>0.76</v>
      </c>
      <c r="N11" s="27">
        <v>1.04</v>
      </c>
      <c r="O11" s="28">
        <v>1.22</v>
      </c>
    </row>
    <row r="12" spans="1:29" ht="15" x14ac:dyDescent="0.25">
      <c r="A12" s="1"/>
      <c r="B12" s="35"/>
      <c r="C12" s="34">
        <v>-0.55000000000000004</v>
      </c>
      <c r="D12" s="1"/>
      <c r="E12" s="1" t="s">
        <v>62</v>
      </c>
      <c r="F12" s="1"/>
      <c r="G12" s="1"/>
      <c r="H12" s="1"/>
      <c r="L12" s="23">
        <v>15.2</v>
      </c>
      <c r="M12" s="27">
        <v>0.81</v>
      </c>
      <c r="N12" s="27">
        <v>1.0900000000000001</v>
      </c>
      <c r="O12" s="28">
        <v>1.27</v>
      </c>
      <c r="Q12" s="12" t="s">
        <v>22</v>
      </c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7"/>
    </row>
    <row r="13" spans="1:29" ht="15" x14ac:dyDescent="0.25">
      <c r="A13" s="1"/>
      <c r="B13" s="29" t="s">
        <v>119</v>
      </c>
      <c r="C13" s="38">
        <v>40</v>
      </c>
      <c r="D13" s="1"/>
      <c r="E13" s="1" t="s">
        <v>63</v>
      </c>
      <c r="F13" s="1"/>
      <c r="G13" s="1"/>
      <c r="H13" s="1"/>
      <c r="L13" s="23">
        <v>18</v>
      </c>
      <c r="M13" s="27">
        <v>0.85</v>
      </c>
      <c r="N13" s="27">
        <v>1.1299999999999999</v>
      </c>
      <c r="O13" s="28">
        <v>1.31</v>
      </c>
      <c r="Q13" s="18" t="s">
        <v>23</v>
      </c>
      <c r="R13" s="19" t="s">
        <v>24</v>
      </c>
      <c r="S13" s="19" t="s">
        <v>25</v>
      </c>
      <c r="T13" s="19"/>
      <c r="U13" s="19"/>
      <c r="V13" s="19"/>
      <c r="W13" s="19"/>
      <c r="X13" s="19"/>
      <c r="Y13" s="19"/>
      <c r="Z13" s="19"/>
      <c r="AA13" s="19" t="s">
        <v>26</v>
      </c>
      <c r="AB13" s="19"/>
      <c r="AC13" s="20"/>
    </row>
    <row r="14" spans="1:29" ht="15" x14ac:dyDescent="0.25">
      <c r="A14" s="1"/>
      <c r="B14" s="8" t="s">
        <v>120</v>
      </c>
      <c r="C14" s="15">
        <v>40</v>
      </c>
      <c r="D14" s="1"/>
      <c r="E14" s="1" t="s">
        <v>113</v>
      </c>
      <c r="F14" s="1"/>
      <c r="G14" s="1"/>
      <c r="H14" s="1"/>
      <c r="L14" s="23">
        <v>21.3</v>
      </c>
      <c r="M14" s="27">
        <v>0.89</v>
      </c>
      <c r="N14" s="27">
        <v>1.17</v>
      </c>
      <c r="O14" s="28">
        <v>1.34</v>
      </c>
      <c r="Q14" s="18" t="s">
        <v>27</v>
      </c>
      <c r="R14" s="39" t="s">
        <v>24</v>
      </c>
      <c r="S14" s="19">
        <v>10</v>
      </c>
      <c r="T14" s="19">
        <v>15</v>
      </c>
      <c r="U14" s="19">
        <v>20</v>
      </c>
      <c r="V14" s="19">
        <v>25</v>
      </c>
      <c r="W14" s="19">
        <v>30</v>
      </c>
      <c r="X14" s="19">
        <v>35</v>
      </c>
      <c r="Y14" s="19">
        <v>45</v>
      </c>
      <c r="Z14" s="19">
        <v>60</v>
      </c>
      <c r="AA14" s="19">
        <v>10</v>
      </c>
      <c r="AB14" s="19">
        <v>15</v>
      </c>
      <c r="AC14" s="20">
        <v>20</v>
      </c>
    </row>
    <row r="15" spans="1:29" ht="14.25" customHeight="1" x14ac:dyDescent="0.25">
      <c r="A15" s="1"/>
      <c r="B15" s="8" t="s">
        <v>48</v>
      </c>
      <c r="C15" s="15" t="s">
        <v>14</v>
      </c>
      <c r="D15" s="1"/>
      <c r="E15" s="1"/>
      <c r="F15" s="1"/>
      <c r="G15" s="1"/>
      <c r="H15" s="1"/>
      <c r="L15" s="23">
        <v>24.4</v>
      </c>
      <c r="M15" s="27">
        <v>0.93</v>
      </c>
      <c r="N15" s="27">
        <v>1.21</v>
      </c>
      <c r="O15" s="28">
        <v>1.38</v>
      </c>
      <c r="Q15" s="40" t="s">
        <v>53</v>
      </c>
      <c r="R15" s="24" t="s">
        <v>28</v>
      </c>
      <c r="S15" s="27">
        <v>-0.7</v>
      </c>
      <c r="T15" s="27">
        <v>-0.5</v>
      </c>
      <c r="U15" s="27">
        <v>-0.3</v>
      </c>
      <c r="V15" s="27">
        <v>-0.2</v>
      </c>
      <c r="W15" s="27">
        <v>-0.2</v>
      </c>
      <c r="X15" s="27">
        <v>-0.2</v>
      </c>
      <c r="Y15" s="27">
        <v>0</v>
      </c>
      <c r="Z15" s="27">
        <v>0</v>
      </c>
      <c r="AA15" s="1">
        <v>0</v>
      </c>
      <c r="AB15" s="27">
        <v>0</v>
      </c>
      <c r="AC15" s="28">
        <v>0</v>
      </c>
    </row>
    <row r="16" spans="1:29" ht="14.25" customHeight="1" x14ac:dyDescent="0.2">
      <c r="A16" s="1"/>
      <c r="B16" s="41" t="s">
        <v>58</v>
      </c>
      <c r="C16" s="42" t="s">
        <v>65</v>
      </c>
      <c r="D16" s="1"/>
      <c r="E16" s="1"/>
      <c r="F16" s="1"/>
      <c r="G16" s="1"/>
      <c r="H16" s="1"/>
      <c r="L16" s="23">
        <v>27.4</v>
      </c>
      <c r="M16" s="27">
        <v>0.96</v>
      </c>
      <c r="N16" s="27">
        <v>1.24</v>
      </c>
      <c r="O16" s="28">
        <v>1.4</v>
      </c>
      <c r="Q16" s="40"/>
      <c r="R16" s="24" t="s">
        <v>28</v>
      </c>
      <c r="S16" s="27">
        <v>-0.18</v>
      </c>
      <c r="T16" s="27">
        <v>0</v>
      </c>
      <c r="U16" s="27">
        <v>0.2</v>
      </c>
      <c r="V16" s="27">
        <v>0.3</v>
      </c>
      <c r="W16" s="27">
        <v>0.3</v>
      </c>
      <c r="X16" s="27">
        <v>0.3</v>
      </c>
      <c r="Y16" s="27">
        <v>0.4</v>
      </c>
      <c r="Z16" s="27">
        <v>0.01</v>
      </c>
      <c r="AA16" s="27">
        <v>-0.3</v>
      </c>
      <c r="AB16" s="27">
        <v>-0.5</v>
      </c>
      <c r="AC16" s="28">
        <v>-0.6</v>
      </c>
    </row>
    <row r="17" spans="1:29" x14ac:dyDescent="0.2">
      <c r="A17" s="1"/>
      <c r="B17" s="43" t="s">
        <v>54</v>
      </c>
      <c r="C17" s="44"/>
      <c r="D17" s="1"/>
      <c r="E17" s="1"/>
      <c r="F17" s="1"/>
      <c r="G17" s="1"/>
      <c r="H17" s="1"/>
      <c r="L17" s="23">
        <v>30.5</v>
      </c>
      <c r="M17" s="27">
        <v>0.99</v>
      </c>
      <c r="N17" s="27">
        <v>1.26</v>
      </c>
      <c r="O17" s="28">
        <v>1.43</v>
      </c>
      <c r="Q17" s="40"/>
      <c r="R17" s="27">
        <v>0.5</v>
      </c>
      <c r="S17" s="27">
        <v>-0.9</v>
      </c>
      <c r="T17" s="27">
        <v>-0.7</v>
      </c>
      <c r="U17" s="27">
        <v>-0.4</v>
      </c>
      <c r="V17" s="27">
        <v>-0.3</v>
      </c>
      <c r="W17" s="27">
        <v>-0.2</v>
      </c>
      <c r="X17" s="27">
        <v>-0.2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</row>
    <row r="18" spans="1:29" ht="15" x14ac:dyDescent="0.25">
      <c r="A18" s="1"/>
      <c r="B18" s="29" t="s">
        <v>47</v>
      </c>
      <c r="C18" s="45">
        <v>20</v>
      </c>
      <c r="D18" s="1"/>
      <c r="E18" s="1"/>
      <c r="F18" s="1"/>
      <c r="G18" s="1"/>
      <c r="H18" s="1"/>
      <c r="L18" s="23">
        <v>36.6</v>
      </c>
      <c r="M18" s="27">
        <v>1.04</v>
      </c>
      <c r="N18" s="27">
        <v>1.31</v>
      </c>
      <c r="O18" s="28">
        <v>1.48</v>
      </c>
      <c r="Q18" s="40"/>
      <c r="R18" s="27">
        <v>0.5</v>
      </c>
      <c r="S18" s="27">
        <v>-0.18</v>
      </c>
      <c r="T18" s="27">
        <v>-0.18</v>
      </c>
      <c r="U18" s="27">
        <v>0</v>
      </c>
      <c r="V18" s="27">
        <v>0.2</v>
      </c>
      <c r="W18" s="27">
        <v>0.2</v>
      </c>
      <c r="X18" s="27">
        <v>0.2</v>
      </c>
      <c r="Y18" s="27">
        <v>0.4</v>
      </c>
      <c r="Z18" s="27">
        <v>0.01</v>
      </c>
      <c r="AA18" s="27">
        <v>-0.5</v>
      </c>
      <c r="AB18" s="27">
        <v>-0.5</v>
      </c>
      <c r="AC18" s="28">
        <v>-0.6</v>
      </c>
    </row>
    <row r="19" spans="1:29" ht="15" x14ac:dyDescent="0.25">
      <c r="A19" s="1"/>
      <c r="B19" s="46" t="s">
        <v>50</v>
      </c>
      <c r="C19" s="47">
        <v>25</v>
      </c>
      <c r="D19" s="1"/>
      <c r="E19" s="1"/>
      <c r="F19" s="1"/>
      <c r="G19" s="1"/>
      <c r="L19" s="23">
        <v>42.7</v>
      </c>
      <c r="M19" s="27">
        <v>1.0900000000000001</v>
      </c>
      <c r="N19" s="27">
        <v>1.36</v>
      </c>
      <c r="O19" s="28">
        <v>1.52</v>
      </c>
      <c r="Q19" s="40"/>
      <c r="R19" s="24" t="s">
        <v>29</v>
      </c>
      <c r="S19" s="27">
        <v>-1.3</v>
      </c>
      <c r="T19" s="27">
        <v>-1</v>
      </c>
      <c r="U19" s="27">
        <v>-0.7</v>
      </c>
      <c r="V19" s="27">
        <v>-0.5</v>
      </c>
      <c r="W19" s="27">
        <v>-0.3</v>
      </c>
      <c r="X19" s="27">
        <v>-0.3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</row>
    <row r="20" spans="1:29" x14ac:dyDescent="0.2">
      <c r="A20" s="1"/>
      <c r="B20" s="26"/>
      <c r="C20" s="2"/>
      <c r="D20" s="1"/>
      <c r="E20" s="1"/>
      <c r="F20" s="1"/>
      <c r="G20" s="1"/>
      <c r="H20" s="1"/>
      <c r="L20" s="23">
        <v>48.8</v>
      </c>
      <c r="M20" s="27">
        <v>1.1299999999999999</v>
      </c>
      <c r="N20" s="27">
        <v>1.39</v>
      </c>
      <c r="O20" s="28">
        <v>1.55</v>
      </c>
      <c r="Q20" s="48"/>
      <c r="R20" s="32" t="s">
        <v>29</v>
      </c>
      <c r="S20" s="49">
        <v>-0.18</v>
      </c>
      <c r="T20" s="49">
        <v>-0.18</v>
      </c>
      <c r="U20" s="49">
        <v>-0.18</v>
      </c>
      <c r="V20" s="49">
        <v>0</v>
      </c>
      <c r="W20" s="49">
        <v>0.2</v>
      </c>
      <c r="X20" s="49">
        <v>0.2</v>
      </c>
      <c r="Y20" s="49">
        <v>0.3</v>
      </c>
      <c r="Z20" s="49">
        <v>0.01</v>
      </c>
      <c r="AA20" s="49">
        <v>-0.7</v>
      </c>
      <c r="AB20" s="49">
        <v>-0.6</v>
      </c>
      <c r="AC20" s="50">
        <v>-0.6</v>
      </c>
    </row>
    <row r="21" spans="1:29" x14ac:dyDescent="0.2">
      <c r="A21" s="1"/>
      <c r="B21" s="1"/>
      <c r="C21" s="2"/>
      <c r="D21" s="1"/>
      <c r="E21" s="1"/>
      <c r="F21" s="1"/>
      <c r="G21" s="1"/>
      <c r="H21" s="1"/>
      <c r="L21" s="23">
        <v>54.9</v>
      </c>
      <c r="M21" s="27">
        <v>1.17</v>
      </c>
      <c r="N21" s="27">
        <v>1.43</v>
      </c>
      <c r="O21" s="28">
        <v>1.58</v>
      </c>
    </row>
    <row r="22" spans="1:29" x14ac:dyDescent="0.2">
      <c r="A22" s="1"/>
      <c r="B22" s="1"/>
      <c r="C22" s="2"/>
      <c r="D22" s="1"/>
      <c r="E22" s="1"/>
      <c r="F22" s="1"/>
      <c r="G22" s="1"/>
      <c r="H22" s="1"/>
      <c r="L22" s="23">
        <v>61</v>
      </c>
      <c r="M22" s="27">
        <v>1.2</v>
      </c>
      <c r="N22" s="27">
        <v>1.46</v>
      </c>
      <c r="O22" s="28">
        <v>1.61</v>
      </c>
      <c r="Q22" s="12" t="s">
        <v>23</v>
      </c>
    </row>
    <row r="23" spans="1:29" ht="15.75" customHeight="1" x14ac:dyDescent="0.2">
      <c r="A23" s="1"/>
      <c r="B23" s="1" t="s">
        <v>51</v>
      </c>
      <c r="C23" s="2"/>
      <c r="D23" s="1" t="s">
        <v>103</v>
      </c>
      <c r="E23" s="1"/>
      <c r="F23" s="1"/>
      <c r="G23" s="1"/>
      <c r="H23" s="1"/>
      <c r="L23" s="23">
        <v>76.2</v>
      </c>
      <c r="M23" s="27">
        <v>1.28</v>
      </c>
      <c r="N23" s="27">
        <v>1.53</v>
      </c>
      <c r="O23" s="28">
        <v>1.68</v>
      </c>
      <c r="R23" s="13" t="s">
        <v>24</v>
      </c>
      <c r="S23" s="51" t="s">
        <v>30</v>
      </c>
      <c r="T23" s="13" t="s">
        <v>11</v>
      </c>
      <c r="U23" s="14" t="s">
        <v>11</v>
      </c>
    </row>
    <row r="24" spans="1:29" ht="15.75" customHeight="1" x14ac:dyDescent="0.25">
      <c r="A24" s="1"/>
      <c r="B24" s="52" t="s">
        <v>66</v>
      </c>
      <c r="C24" s="3"/>
      <c r="L24" s="23">
        <v>91.4</v>
      </c>
      <c r="M24" s="27">
        <v>1.35</v>
      </c>
      <c r="N24" s="27">
        <v>1.59</v>
      </c>
      <c r="O24" s="28">
        <v>1.73</v>
      </c>
      <c r="Q24" s="40" t="s">
        <v>52</v>
      </c>
      <c r="R24" s="24">
        <v>0.5</v>
      </c>
      <c r="S24" s="24" t="s">
        <v>31</v>
      </c>
      <c r="T24" s="27">
        <v>-0.9</v>
      </c>
      <c r="U24" s="28">
        <v>-0.18</v>
      </c>
    </row>
    <row r="25" spans="1:29" x14ac:dyDescent="0.2">
      <c r="A25" s="1"/>
      <c r="B25" s="53" t="s">
        <v>67</v>
      </c>
      <c r="C25" s="53" t="s">
        <v>68</v>
      </c>
      <c r="D25" s="53" t="s">
        <v>69</v>
      </c>
      <c r="E25" s="53" t="s">
        <v>70</v>
      </c>
      <c r="L25" s="23">
        <v>106.7</v>
      </c>
      <c r="M25" s="27">
        <v>1.41</v>
      </c>
      <c r="N25" s="27">
        <v>1.64</v>
      </c>
      <c r="O25" s="28">
        <v>1.78</v>
      </c>
      <c r="Q25" s="23"/>
      <c r="R25" s="24"/>
      <c r="S25" s="24" t="s">
        <v>32</v>
      </c>
      <c r="T25" s="27">
        <v>-0.9</v>
      </c>
      <c r="U25" s="28">
        <v>-0.18</v>
      </c>
    </row>
    <row r="26" spans="1:29" x14ac:dyDescent="0.2">
      <c r="A26" s="1"/>
      <c r="B26" s="54">
        <v>8</v>
      </c>
      <c r="C26" s="54" t="s">
        <v>71</v>
      </c>
      <c r="D26" s="54">
        <v>0.67100000000000004</v>
      </c>
      <c r="E26" s="54">
        <v>1305.6969999999999</v>
      </c>
      <c r="L26" s="23">
        <v>121.9</v>
      </c>
      <c r="M26" s="27">
        <v>1.47</v>
      </c>
      <c r="N26" s="27">
        <v>1.69</v>
      </c>
      <c r="O26" s="28">
        <v>1.82</v>
      </c>
      <c r="Q26" s="23"/>
      <c r="R26" s="24"/>
      <c r="S26" s="24" t="s">
        <v>33</v>
      </c>
      <c r="T26" s="27">
        <v>-0.5</v>
      </c>
      <c r="U26" s="28">
        <v>-0.18</v>
      </c>
    </row>
    <row r="27" spans="1:29" x14ac:dyDescent="0.2">
      <c r="A27" s="1"/>
      <c r="B27" s="54">
        <v>10</v>
      </c>
      <c r="C27" s="54" t="s">
        <v>71</v>
      </c>
      <c r="D27" s="54">
        <v>0.71699999999999997</v>
      </c>
      <c r="E27" s="54">
        <v>1395.2080000000001</v>
      </c>
      <c r="L27" s="23">
        <v>137.19999999999999</v>
      </c>
      <c r="M27" s="27">
        <v>1.52</v>
      </c>
      <c r="N27" s="27">
        <v>1.73</v>
      </c>
      <c r="O27" s="28">
        <v>1.86</v>
      </c>
      <c r="Q27" s="23"/>
      <c r="R27" s="24"/>
      <c r="S27" s="24" t="s">
        <v>34</v>
      </c>
      <c r="T27" s="27">
        <v>-0.3</v>
      </c>
      <c r="U27" s="28">
        <v>-0.18</v>
      </c>
    </row>
    <row r="28" spans="1:29" x14ac:dyDescent="0.2">
      <c r="A28" s="1"/>
      <c r="B28" s="54">
        <v>15</v>
      </c>
      <c r="C28" s="54" t="s">
        <v>71</v>
      </c>
      <c r="D28" s="54">
        <v>0.80700000000000005</v>
      </c>
      <c r="E28" s="54">
        <v>1570.3389999999999</v>
      </c>
      <c r="L28" s="31">
        <v>152.4</v>
      </c>
      <c r="M28" s="49">
        <v>1.56</v>
      </c>
      <c r="N28" s="49">
        <v>1.77</v>
      </c>
      <c r="O28" s="50">
        <v>1.89</v>
      </c>
      <c r="Q28" s="23"/>
      <c r="R28" s="24" t="s">
        <v>35</v>
      </c>
      <c r="S28" s="24" t="s">
        <v>31</v>
      </c>
      <c r="T28" s="27">
        <v>-1.3</v>
      </c>
      <c r="U28" s="28">
        <v>-0.18</v>
      </c>
    </row>
    <row r="29" spans="1:29" x14ac:dyDescent="0.2">
      <c r="A29" s="1"/>
      <c r="B29" s="54">
        <v>18</v>
      </c>
      <c r="C29" s="54" t="s">
        <v>71</v>
      </c>
      <c r="D29" s="54">
        <v>0.85</v>
      </c>
      <c r="E29" s="54">
        <v>1654.0119999999999</v>
      </c>
      <c r="Q29" s="31"/>
      <c r="R29" s="32"/>
      <c r="S29" s="32" t="s">
        <v>36</v>
      </c>
      <c r="T29" s="49">
        <v>-0.7</v>
      </c>
      <c r="U29" s="50">
        <v>-0.18</v>
      </c>
    </row>
    <row r="30" spans="1:29" x14ac:dyDescent="0.2">
      <c r="A30" s="1"/>
      <c r="B30" s="54">
        <v>19</v>
      </c>
      <c r="C30" s="54" t="s">
        <v>71</v>
      </c>
      <c r="D30" s="54">
        <v>0.86199999999999999</v>
      </c>
      <c r="E30" s="54">
        <v>1677.3630000000001</v>
      </c>
    </row>
    <row r="31" spans="1:29" x14ac:dyDescent="0.2">
      <c r="A31" s="1"/>
      <c r="B31" s="54">
        <v>20</v>
      </c>
      <c r="C31" s="54" t="s">
        <v>72</v>
      </c>
      <c r="D31" s="54">
        <v>0.874</v>
      </c>
      <c r="E31" s="54">
        <v>1700.7139999999999</v>
      </c>
      <c r="L31" s="55" t="s">
        <v>1</v>
      </c>
      <c r="M31" s="13" t="s">
        <v>37</v>
      </c>
      <c r="N31" s="13" t="s">
        <v>38</v>
      </c>
      <c r="O31" s="13" t="s">
        <v>38</v>
      </c>
    </row>
    <row r="32" spans="1:29" x14ac:dyDescent="0.2">
      <c r="A32" s="1"/>
      <c r="B32" s="54">
        <v>22.5</v>
      </c>
      <c r="C32" s="54" t="s">
        <v>73</v>
      </c>
      <c r="D32" s="54">
        <v>0.90500000000000003</v>
      </c>
      <c r="E32" s="54">
        <v>1761.0360000000001</v>
      </c>
      <c r="L32" s="23" t="s">
        <v>39</v>
      </c>
      <c r="M32" s="27" t="s">
        <v>40</v>
      </c>
      <c r="N32" s="27">
        <v>0.18</v>
      </c>
      <c r="O32" s="28">
        <v>-0.18</v>
      </c>
    </row>
    <row r="33" spans="1:15" x14ac:dyDescent="0.2">
      <c r="A33" s="1"/>
      <c r="B33" s="56">
        <v>25</v>
      </c>
      <c r="C33" s="56" t="s">
        <v>74</v>
      </c>
      <c r="D33" s="56">
        <v>0.93600000000000005</v>
      </c>
      <c r="E33" s="56">
        <v>1821.3589999999999</v>
      </c>
      <c r="L33" s="23" t="s">
        <v>45</v>
      </c>
      <c r="M33" s="27" t="s">
        <v>41</v>
      </c>
      <c r="N33" s="27">
        <v>0.55000000000000004</v>
      </c>
      <c r="O33" s="28">
        <v>-0.55000000000000004</v>
      </c>
    </row>
    <row r="34" spans="1:15" x14ac:dyDescent="0.2">
      <c r="A34" s="1"/>
      <c r="C34" s="3"/>
      <c r="L34" s="23" t="s">
        <v>42</v>
      </c>
      <c r="M34" s="27" t="s">
        <v>40</v>
      </c>
      <c r="N34" s="27">
        <v>0.18</v>
      </c>
      <c r="O34" s="28">
        <v>-0.18</v>
      </c>
    </row>
    <row r="35" spans="1:15" ht="15" x14ac:dyDescent="0.25">
      <c r="A35" s="1"/>
      <c r="B35" s="52" t="s">
        <v>75</v>
      </c>
      <c r="C35" s="3"/>
      <c r="L35" s="31" t="s">
        <v>43</v>
      </c>
      <c r="M35" s="49" t="s">
        <v>44</v>
      </c>
      <c r="N35" s="49">
        <v>0</v>
      </c>
      <c r="O35" s="50">
        <v>0</v>
      </c>
    </row>
    <row r="36" spans="1:15" x14ac:dyDescent="0.2">
      <c r="A36" s="1"/>
      <c r="B36" s="53" t="s">
        <v>9</v>
      </c>
      <c r="C36" s="53" t="s">
        <v>76</v>
      </c>
      <c r="D36" s="53" t="s">
        <v>10</v>
      </c>
      <c r="E36" s="53" t="s">
        <v>11</v>
      </c>
    </row>
    <row r="37" spans="1:15" x14ac:dyDescent="0.2">
      <c r="A37" s="1"/>
      <c r="B37" s="54" t="s">
        <v>16</v>
      </c>
      <c r="C37" s="54" t="s">
        <v>77</v>
      </c>
      <c r="D37" s="54" t="s">
        <v>77</v>
      </c>
      <c r="E37" s="54">
        <v>0.8</v>
      </c>
    </row>
    <row r="38" spans="1:15" x14ac:dyDescent="0.2">
      <c r="A38" s="1"/>
      <c r="B38" s="54" t="s">
        <v>78</v>
      </c>
      <c r="C38" s="54" t="s">
        <v>79</v>
      </c>
      <c r="D38" s="54">
        <v>1</v>
      </c>
      <c r="E38" s="54">
        <v>-0.5</v>
      </c>
    </row>
    <row r="39" spans="1:15" x14ac:dyDescent="0.2">
      <c r="A39" s="1"/>
      <c r="B39" s="54"/>
      <c r="C39" s="54" t="s">
        <v>80</v>
      </c>
      <c r="D39" s="54">
        <v>1</v>
      </c>
      <c r="E39" s="54">
        <v>-0.5</v>
      </c>
    </row>
    <row r="40" spans="1:15" x14ac:dyDescent="0.2">
      <c r="A40" s="1"/>
      <c r="B40" s="56" t="s">
        <v>81</v>
      </c>
      <c r="C40" s="56" t="s">
        <v>77</v>
      </c>
      <c r="D40" s="56" t="s">
        <v>77</v>
      </c>
      <c r="E40" s="56">
        <v>-0.7</v>
      </c>
    </row>
    <row r="41" spans="1:15" x14ac:dyDescent="0.2">
      <c r="A41" s="1"/>
      <c r="C41" s="3"/>
    </row>
    <row r="42" spans="1:15" ht="15" x14ac:dyDescent="0.25">
      <c r="A42" s="1"/>
      <c r="B42" s="52" t="s">
        <v>82</v>
      </c>
      <c r="C42" s="3"/>
    </row>
    <row r="43" spans="1:15" x14ac:dyDescent="0.2">
      <c r="A43" s="1"/>
      <c r="B43" s="53" t="s">
        <v>9</v>
      </c>
      <c r="C43" s="53" t="s">
        <v>104</v>
      </c>
      <c r="D43" s="53" t="s">
        <v>105</v>
      </c>
      <c r="E43" s="53" t="s">
        <v>106</v>
      </c>
    </row>
    <row r="44" spans="1:15" x14ac:dyDescent="0.2">
      <c r="A44" s="1"/>
      <c r="B44" s="54" t="s">
        <v>83</v>
      </c>
      <c r="C44" s="54">
        <v>-0.95</v>
      </c>
      <c r="D44" s="54">
        <v>-0.78</v>
      </c>
      <c r="E44" s="54">
        <v>-0.74</v>
      </c>
    </row>
    <row r="45" spans="1:15" x14ac:dyDescent="0.2">
      <c r="A45" s="1"/>
      <c r="B45" s="54"/>
      <c r="C45" s="54">
        <v>-0.18</v>
      </c>
      <c r="D45" s="54">
        <v>-0.18</v>
      </c>
      <c r="E45" s="54">
        <v>-0.18</v>
      </c>
    </row>
    <row r="46" spans="1:15" x14ac:dyDescent="0.2">
      <c r="A46" s="1"/>
      <c r="B46" s="56" t="s">
        <v>84</v>
      </c>
      <c r="C46" s="56">
        <v>-0.53</v>
      </c>
      <c r="D46" s="56">
        <v>-0.51</v>
      </c>
      <c r="E46" s="56">
        <v>-0.51</v>
      </c>
    </row>
    <row r="47" spans="1:15" x14ac:dyDescent="0.2">
      <c r="A47" s="1"/>
      <c r="C47" s="3"/>
    </row>
    <row r="48" spans="1:15" ht="15" x14ac:dyDescent="0.25">
      <c r="A48" s="1"/>
      <c r="B48" s="52" t="s">
        <v>85</v>
      </c>
      <c r="C48" s="3"/>
    </row>
    <row r="49" spans="1:8" x14ac:dyDescent="0.2">
      <c r="A49" s="1"/>
      <c r="B49" s="53" t="s">
        <v>9</v>
      </c>
      <c r="C49" s="53" t="s">
        <v>86</v>
      </c>
      <c r="D49" s="53" t="s">
        <v>107</v>
      </c>
    </row>
    <row r="50" spans="1:8" x14ac:dyDescent="0.2">
      <c r="A50" s="1"/>
      <c r="B50" s="54" t="s">
        <v>87</v>
      </c>
      <c r="C50" s="54" t="s">
        <v>31</v>
      </c>
      <c r="D50" s="54" t="s">
        <v>108</v>
      </c>
    </row>
    <row r="51" spans="1:8" x14ac:dyDescent="0.2">
      <c r="A51" s="1"/>
      <c r="B51" s="54"/>
      <c r="C51" s="54" t="s">
        <v>32</v>
      </c>
      <c r="D51" s="54" t="s">
        <v>109</v>
      </c>
    </row>
    <row r="52" spans="1:8" x14ac:dyDescent="0.2">
      <c r="A52" s="1"/>
      <c r="B52" s="54"/>
      <c r="C52" s="54" t="s">
        <v>33</v>
      </c>
      <c r="D52" s="54" t="s">
        <v>110</v>
      </c>
    </row>
    <row r="53" spans="1:8" x14ac:dyDescent="0.2">
      <c r="A53" s="1"/>
      <c r="B53" s="56"/>
      <c r="C53" s="56" t="s">
        <v>34</v>
      </c>
      <c r="D53" s="56" t="s">
        <v>111</v>
      </c>
    </row>
    <row r="54" spans="1:8" x14ac:dyDescent="0.2">
      <c r="A54" s="1"/>
      <c r="C54" s="3"/>
    </row>
    <row r="55" spans="1:8" ht="15" x14ac:dyDescent="0.25">
      <c r="A55" s="1"/>
      <c r="B55" s="52" t="s">
        <v>88</v>
      </c>
      <c r="C55" s="3"/>
    </row>
    <row r="56" spans="1:8" x14ac:dyDescent="0.2">
      <c r="A56" s="1"/>
      <c r="B56" s="53" t="s">
        <v>9</v>
      </c>
      <c r="C56" s="53" t="s">
        <v>89</v>
      </c>
      <c r="D56" s="53" t="s">
        <v>90</v>
      </c>
      <c r="E56" s="53" t="s">
        <v>91</v>
      </c>
      <c r="F56" s="53" t="s">
        <v>92</v>
      </c>
      <c r="G56" s="53" t="s">
        <v>93</v>
      </c>
      <c r="H56" s="53" t="s">
        <v>94</v>
      </c>
    </row>
    <row r="57" spans="1:8" x14ac:dyDescent="0.2">
      <c r="A57" s="1"/>
      <c r="B57" s="54" t="s">
        <v>16</v>
      </c>
      <c r="C57" s="54">
        <v>8</v>
      </c>
      <c r="D57" s="54">
        <v>1305.7</v>
      </c>
      <c r="E57" s="54">
        <v>0.85</v>
      </c>
      <c r="F57" s="54">
        <v>0.8</v>
      </c>
      <c r="G57" s="54">
        <v>-80.7</v>
      </c>
      <c r="H57" s="54">
        <v>1856.44</v>
      </c>
    </row>
    <row r="58" spans="1:8" x14ac:dyDescent="0.2">
      <c r="A58" s="1"/>
      <c r="B58" s="54"/>
      <c r="C58" s="54">
        <v>10</v>
      </c>
      <c r="D58" s="54">
        <v>1395.21</v>
      </c>
      <c r="E58" s="54">
        <v>0.85</v>
      </c>
      <c r="F58" s="54">
        <v>0.8</v>
      </c>
      <c r="G58" s="54">
        <v>-19.829999999999998</v>
      </c>
      <c r="H58" s="54">
        <v>1917.31</v>
      </c>
    </row>
    <row r="59" spans="1:8" x14ac:dyDescent="0.2">
      <c r="A59" s="1"/>
      <c r="B59" s="54"/>
      <c r="C59" s="54">
        <v>15</v>
      </c>
      <c r="D59" s="54">
        <v>1570.34</v>
      </c>
      <c r="E59" s="54">
        <v>0.85</v>
      </c>
      <c r="F59" s="54">
        <v>0.8</v>
      </c>
      <c r="G59" s="54">
        <v>99.26</v>
      </c>
      <c r="H59" s="54">
        <v>2036.4</v>
      </c>
    </row>
    <row r="60" spans="1:8" x14ac:dyDescent="0.2">
      <c r="A60" s="1"/>
      <c r="B60" s="54"/>
      <c r="C60" s="54">
        <v>18</v>
      </c>
      <c r="D60" s="54">
        <v>1654.01</v>
      </c>
      <c r="E60" s="54">
        <v>0.85</v>
      </c>
      <c r="F60" s="54">
        <v>0.8</v>
      </c>
      <c r="G60" s="54">
        <v>156.16</v>
      </c>
      <c r="H60" s="54">
        <v>2093.3000000000002</v>
      </c>
    </row>
    <row r="61" spans="1:8" x14ac:dyDescent="0.2">
      <c r="A61" s="1"/>
      <c r="B61" s="54"/>
      <c r="C61" s="54">
        <v>19</v>
      </c>
      <c r="D61" s="54">
        <v>1677.36</v>
      </c>
      <c r="E61" s="54">
        <v>0.85</v>
      </c>
      <c r="F61" s="54">
        <v>0.8</v>
      </c>
      <c r="G61" s="54">
        <v>172.04</v>
      </c>
      <c r="H61" s="54">
        <v>2109.1799999999998</v>
      </c>
    </row>
    <row r="62" spans="1:8" x14ac:dyDescent="0.2">
      <c r="A62" s="1"/>
      <c r="B62" s="54"/>
      <c r="C62" s="54">
        <v>20</v>
      </c>
      <c r="D62" s="54">
        <v>1700.71</v>
      </c>
      <c r="E62" s="54">
        <v>0.85</v>
      </c>
      <c r="F62" s="54">
        <v>0.8</v>
      </c>
      <c r="G62" s="54">
        <v>187.92</v>
      </c>
      <c r="H62" s="54">
        <v>2125.06</v>
      </c>
    </row>
    <row r="63" spans="1:8" x14ac:dyDescent="0.2">
      <c r="A63" s="1"/>
      <c r="B63" s="54" t="s">
        <v>78</v>
      </c>
      <c r="C63" s="54" t="s">
        <v>77</v>
      </c>
      <c r="D63" s="54">
        <v>1761.04</v>
      </c>
      <c r="E63" s="54">
        <v>0.85</v>
      </c>
      <c r="F63" s="54">
        <v>-0.5</v>
      </c>
      <c r="G63" s="54">
        <v>-1717.01</v>
      </c>
      <c r="H63" s="54">
        <v>220.13</v>
      </c>
    </row>
    <row r="64" spans="1:8" x14ac:dyDescent="0.2">
      <c r="A64" s="1"/>
      <c r="B64" s="54" t="s">
        <v>95</v>
      </c>
      <c r="C64" s="54" t="s">
        <v>77</v>
      </c>
      <c r="D64" s="54">
        <v>1761.04</v>
      </c>
      <c r="E64" s="54">
        <v>0.85</v>
      </c>
      <c r="F64" s="54">
        <v>-0.7</v>
      </c>
      <c r="G64" s="54">
        <v>-2016.39</v>
      </c>
      <c r="H64" s="54">
        <v>-79.25</v>
      </c>
    </row>
    <row r="65" spans="1:8" x14ac:dyDescent="0.2">
      <c r="A65" s="1"/>
      <c r="B65" s="54" t="s">
        <v>96</v>
      </c>
      <c r="C65" s="54" t="s">
        <v>97</v>
      </c>
      <c r="D65" s="54">
        <v>1761.04</v>
      </c>
      <c r="E65" s="54">
        <v>0.85</v>
      </c>
      <c r="F65" s="54">
        <v>-0.78</v>
      </c>
      <c r="G65" s="54">
        <v>-2136.14</v>
      </c>
      <c r="H65" s="54">
        <v>-199</v>
      </c>
    </row>
    <row r="66" spans="1:8" x14ac:dyDescent="0.2">
      <c r="A66" s="1"/>
      <c r="B66" s="54"/>
      <c r="C66" s="54" t="s">
        <v>97</v>
      </c>
      <c r="D66" s="54">
        <v>1761.04</v>
      </c>
      <c r="E66" s="54">
        <v>0.85</v>
      </c>
      <c r="F66" s="54">
        <v>-0.18</v>
      </c>
      <c r="G66" s="54">
        <v>-1238.01</v>
      </c>
      <c r="H66" s="54">
        <v>699.13</v>
      </c>
    </row>
    <row r="67" spans="1:8" x14ac:dyDescent="0.2">
      <c r="A67" s="1"/>
      <c r="B67" s="56" t="s">
        <v>84</v>
      </c>
      <c r="C67" s="56" t="s">
        <v>97</v>
      </c>
      <c r="D67" s="56">
        <v>1761.04</v>
      </c>
      <c r="E67" s="56">
        <v>0.85</v>
      </c>
      <c r="F67" s="56">
        <v>-0.51</v>
      </c>
      <c r="G67" s="56">
        <v>-1731.98</v>
      </c>
      <c r="H67" s="56">
        <v>205.16</v>
      </c>
    </row>
    <row r="68" spans="1:8" x14ac:dyDescent="0.2">
      <c r="A68" s="1"/>
      <c r="C68" s="3"/>
    </row>
    <row r="69" spans="1:8" ht="15" x14ac:dyDescent="0.25">
      <c r="A69" s="1"/>
      <c r="B69" s="52" t="s">
        <v>98</v>
      </c>
      <c r="C69" s="3"/>
    </row>
    <row r="70" spans="1:8" x14ac:dyDescent="0.2">
      <c r="A70" s="1"/>
      <c r="B70" s="53" t="s">
        <v>9</v>
      </c>
      <c r="C70" s="53" t="s">
        <v>89</v>
      </c>
      <c r="D70" s="53" t="s">
        <v>90</v>
      </c>
      <c r="E70" s="53" t="s">
        <v>91</v>
      </c>
      <c r="F70" s="53" t="s">
        <v>92</v>
      </c>
      <c r="G70" s="53" t="s">
        <v>93</v>
      </c>
      <c r="H70" s="53" t="s">
        <v>94</v>
      </c>
    </row>
    <row r="71" spans="1:8" x14ac:dyDescent="0.2">
      <c r="A71" s="1"/>
      <c r="B71" s="54" t="s">
        <v>16</v>
      </c>
      <c r="C71" s="54">
        <v>8</v>
      </c>
      <c r="D71" s="54">
        <v>1305.7</v>
      </c>
      <c r="E71" s="54">
        <v>0.85</v>
      </c>
      <c r="F71" s="54">
        <v>0.8</v>
      </c>
      <c r="G71" s="54">
        <v>-80.7</v>
      </c>
      <c r="H71" s="54">
        <v>1856.44</v>
      </c>
    </row>
    <row r="72" spans="1:8" x14ac:dyDescent="0.2">
      <c r="A72" s="1"/>
      <c r="B72" s="54"/>
      <c r="C72" s="54">
        <v>10</v>
      </c>
      <c r="D72" s="54">
        <v>1395.21</v>
      </c>
      <c r="E72" s="54">
        <v>0.85</v>
      </c>
      <c r="F72" s="54">
        <v>0.8</v>
      </c>
      <c r="G72" s="54">
        <v>-19.829999999999998</v>
      </c>
      <c r="H72" s="54">
        <v>1917.31</v>
      </c>
    </row>
    <row r="73" spans="1:8" x14ac:dyDescent="0.2">
      <c r="A73" s="1"/>
      <c r="B73" s="54"/>
      <c r="C73" s="54">
        <v>15</v>
      </c>
      <c r="D73" s="54">
        <v>1570.34</v>
      </c>
      <c r="E73" s="54">
        <v>0.85</v>
      </c>
      <c r="F73" s="54">
        <v>0.8</v>
      </c>
      <c r="G73" s="54">
        <v>99.26</v>
      </c>
      <c r="H73" s="54">
        <v>2036.4</v>
      </c>
    </row>
    <row r="74" spans="1:8" x14ac:dyDescent="0.2">
      <c r="A74" s="1"/>
      <c r="B74" s="54"/>
      <c r="C74" s="54">
        <v>18</v>
      </c>
      <c r="D74" s="54">
        <v>1654.01</v>
      </c>
      <c r="E74" s="54">
        <v>0.85</v>
      </c>
      <c r="F74" s="54">
        <v>0.8</v>
      </c>
      <c r="G74" s="54">
        <v>156.16</v>
      </c>
      <c r="H74" s="54">
        <v>2093.3000000000002</v>
      </c>
    </row>
    <row r="75" spans="1:8" x14ac:dyDescent="0.2">
      <c r="A75" s="1"/>
      <c r="B75" s="54"/>
      <c r="C75" s="54">
        <v>19</v>
      </c>
      <c r="D75" s="54">
        <v>1677.36</v>
      </c>
      <c r="E75" s="54">
        <v>0.85</v>
      </c>
      <c r="F75" s="54">
        <v>0.8</v>
      </c>
      <c r="G75" s="54">
        <v>172.04</v>
      </c>
      <c r="H75" s="54">
        <v>2109.1799999999998</v>
      </c>
    </row>
    <row r="76" spans="1:8" x14ac:dyDescent="0.2">
      <c r="A76" s="1"/>
      <c r="B76" s="54"/>
      <c r="C76" s="54">
        <v>20</v>
      </c>
      <c r="D76" s="54">
        <v>1700.71</v>
      </c>
      <c r="E76" s="54">
        <v>0.85</v>
      </c>
      <c r="F76" s="54">
        <v>0.8</v>
      </c>
      <c r="G76" s="54">
        <v>187.92</v>
      </c>
      <c r="H76" s="54">
        <v>2125.06</v>
      </c>
    </row>
    <row r="77" spans="1:8" x14ac:dyDescent="0.2">
      <c r="A77" s="1"/>
      <c r="B77" s="54"/>
      <c r="C77" s="54">
        <v>22.5</v>
      </c>
      <c r="D77" s="54">
        <v>1761.04</v>
      </c>
      <c r="E77" s="54">
        <v>0.85</v>
      </c>
      <c r="F77" s="54">
        <v>0.8</v>
      </c>
      <c r="G77" s="54">
        <v>228.93</v>
      </c>
      <c r="H77" s="54">
        <v>2166.0700000000002</v>
      </c>
    </row>
    <row r="78" spans="1:8" x14ac:dyDescent="0.2">
      <c r="A78" s="1"/>
      <c r="B78" s="54"/>
      <c r="C78" s="54">
        <v>25</v>
      </c>
      <c r="D78" s="54">
        <v>1821.36</v>
      </c>
      <c r="E78" s="54">
        <v>0.85</v>
      </c>
      <c r="F78" s="54">
        <v>0.8</v>
      </c>
      <c r="G78" s="54">
        <v>269.95</v>
      </c>
      <c r="H78" s="54">
        <v>2207.09</v>
      </c>
    </row>
    <row r="79" spans="1:8" x14ac:dyDescent="0.2">
      <c r="A79" s="1"/>
      <c r="B79" s="54" t="s">
        <v>78</v>
      </c>
      <c r="C79" s="54" t="s">
        <v>77</v>
      </c>
      <c r="D79" s="54">
        <v>1761.04</v>
      </c>
      <c r="E79" s="54">
        <v>0.85</v>
      </c>
      <c r="F79" s="54">
        <v>-0.5</v>
      </c>
      <c r="G79" s="54">
        <v>-1717.01</v>
      </c>
      <c r="H79" s="54">
        <v>220.13</v>
      </c>
    </row>
    <row r="80" spans="1:8" x14ac:dyDescent="0.2">
      <c r="A80" s="1"/>
      <c r="B80" s="54" t="s">
        <v>95</v>
      </c>
      <c r="C80" s="54" t="s">
        <v>77</v>
      </c>
      <c r="D80" s="54">
        <v>1761.04</v>
      </c>
      <c r="E80" s="54">
        <v>0.85</v>
      </c>
      <c r="F80" s="54">
        <v>-0.7</v>
      </c>
      <c r="G80" s="54">
        <v>-2016.39</v>
      </c>
      <c r="H80" s="54">
        <v>-79.25</v>
      </c>
    </row>
    <row r="81" spans="1:8" x14ac:dyDescent="0.2">
      <c r="A81" s="1"/>
      <c r="B81" s="54" t="s">
        <v>99</v>
      </c>
      <c r="C81" s="54" t="s">
        <v>97</v>
      </c>
      <c r="D81" s="54">
        <v>1761.04</v>
      </c>
      <c r="E81" s="54">
        <v>0.85</v>
      </c>
      <c r="F81" s="54">
        <v>-0.95</v>
      </c>
      <c r="G81" s="54">
        <v>-2390.61</v>
      </c>
      <c r="H81" s="54">
        <v>-453.47</v>
      </c>
    </row>
    <row r="82" spans="1:8" x14ac:dyDescent="0.2">
      <c r="A82" s="1"/>
      <c r="B82" s="54"/>
      <c r="C82" s="54" t="s">
        <v>97</v>
      </c>
      <c r="D82" s="54">
        <v>1761.04</v>
      </c>
      <c r="E82" s="54">
        <v>0.85</v>
      </c>
      <c r="F82" s="54">
        <v>-0.18</v>
      </c>
      <c r="G82" s="54">
        <v>-1238.01</v>
      </c>
      <c r="H82" s="54">
        <v>699.13</v>
      </c>
    </row>
    <row r="83" spans="1:8" x14ac:dyDescent="0.2">
      <c r="A83" s="1"/>
      <c r="B83" s="54" t="s">
        <v>100</v>
      </c>
      <c r="C83" s="54" t="s">
        <v>97</v>
      </c>
      <c r="D83" s="54">
        <v>1761.04</v>
      </c>
      <c r="E83" s="54">
        <v>0.85</v>
      </c>
      <c r="F83" s="54">
        <v>-0.88</v>
      </c>
      <c r="G83" s="54">
        <v>-2285.8200000000002</v>
      </c>
      <c r="H83" s="54">
        <v>-348.69</v>
      </c>
    </row>
    <row r="84" spans="1:8" x14ac:dyDescent="0.2">
      <c r="A84" s="1"/>
      <c r="B84" s="54"/>
      <c r="C84" s="54" t="s">
        <v>97</v>
      </c>
      <c r="D84" s="54">
        <v>1761.04</v>
      </c>
      <c r="E84" s="54">
        <v>0.85</v>
      </c>
      <c r="F84" s="54">
        <v>-0.18</v>
      </c>
      <c r="G84" s="54">
        <v>-1238.01</v>
      </c>
      <c r="H84" s="54">
        <v>699.13</v>
      </c>
    </row>
    <row r="85" spans="1:8" x14ac:dyDescent="0.2">
      <c r="A85" s="1"/>
      <c r="B85" s="54" t="s">
        <v>101</v>
      </c>
      <c r="C85" s="54" t="s">
        <v>97</v>
      </c>
      <c r="D85" s="54">
        <v>1761.04</v>
      </c>
      <c r="E85" s="54">
        <v>0.85</v>
      </c>
      <c r="F85" s="54">
        <v>-0.53</v>
      </c>
      <c r="G85" s="54">
        <v>-1761.92</v>
      </c>
      <c r="H85" s="54">
        <v>175.22</v>
      </c>
    </row>
    <row r="86" spans="1:8" x14ac:dyDescent="0.2">
      <c r="A86" s="1"/>
      <c r="B86" s="54"/>
      <c r="C86" s="54" t="s">
        <v>97</v>
      </c>
      <c r="D86" s="54">
        <v>1761.04</v>
      </c>
      <c r="E86" s="54">
        <v>0.85</v>
      </c>
      <c r="F86" s="54">
        <v>-0.18</v>
      </c>
      <c r="G86" s="54">
        <v>-1238.01</v>
      </c>
      <c r="H86" s="54">
        <v>699.13</v>
      </c>
    </row>
    <row r="87" spans="1:8" x14ac:dyDescent="0.2">
      <c r="A87" s="1"/>
      <c r="B87" s="54" t="s">
        <v>102</v>
      </c>
      <c r="C87" s="54" t="s">
        <v>97</v>
      </c>
      <c r="D87" s="54">
        <v>1761.04</v>
      </c>
      <c r="E87" s="54">
        <v>0.85</v>
      </c>
      <c r="F87" s="54">
        <v>-0.35</v>
      </c>
      <c r="G87" s="54">
        <v>-1492.48</v>
      </c>
      <c r="H87" s="54">
        <v>444.66</v>
      </c>
    </row>
    <row r="88" spans="1:8" x14ac:dyDescent="0.2">
      <c r="A88" s="1"/>
      <c r="B88" s="56"/>
      <c r="C88" s="56" t="s">
        <v>97</v>
      </c>
      <c r="D88" s="56">
        <v>1761.04</v>
      </c>
      <c r="E88" s="56">
        <v>0.85</v>
      </c>
      <c r="F88" s="56">
        <v>-0.18</v>
      </c>
      <c r="G88" s="56">
        <v>-1238.01</v>
      </c>
      <c r="H88" s="56">
        <v>699.13</v>
      </c>
    </row>
    <row r="89" spans="1:8" x14ac:dyDescent="0.2">
      <c r="A89" s="1"/>
      <c r="C89" s="3"/>
    </row>
    <row r="90" spans="1:8" x14ac:dyDescent="0.2">
      <c r="A90" s="1"/>
      <c r="C90" s="3"/>
    </row>
    <row r="91" spans="1:8" x14ac:dyDescent="0.2">
      <c r="A91" s="1"/>
      <c r="C91" s="3"/>
    </row>
    <row r="92" spans="1:8" x14ac:dyDescent="0.2">
      <c r="A92" s="1"/>
      <c r="C92" s="3"/>
    </row>
    <row r="93" spans="1:8" x14ac:dyDescent="0.2">
      <c r="A93" s="1"/>
      <c r="C93" s="3"/>
    </row>
    <row r="94" spans="1:8" x14ac:dyDescent="0.2">
      <c r="A94" s="1"/>
      <c r="C94" s="3"/>
    </row>
    <row r="95" spans="1:8" x14ac:dyDescent="0.2">
      <c r="A95" s="1"/>
      <c r="C95" s="3"/>
    </row>
    <row r="96" spans="1:8" x14ac:dyDescent="0.2">
      <c r="A96" s="1"/>
      <c r="C96" s="3"/>
    </row>
    <row r="97" spans="1:3" x14ac:dyDescent="0.2">
      <c r="A97" s="1"/>
      <c r="C97" s="3"/>
    </row>
    <row r="98" spans="1:3" x14ac:dyDescent="0.2">
      <c r="A98" s="1"/>
      <c r="C98" s="3"/>
    </row>
    <row r="99" spans="1:3" x14ac:dyDescent="0.2">
      <c r="A99" s="1"/>
      <c r="C99" s="3"/>
    </row>
    <row r="100" spans="1:3" x14ac:dyDescent="0.2">
      <c r="A100" s="1"/>
      <c r="C100" s="3"/>
    </row>
    <row r="101" spans="1:3" x14ac:dyDescent="0.2">
      <c r="A101" s="1"/>
      <c r="C101" s="3"/>
    </row>
    <row r="102" spans="1:3" x14ac:dyDescent="0.2">
      <c r="A102" s="1"/>
      <c r="C102" s="3"/>
    </row>
    <row r="103" spans="1:3" x14ac:dyDescent="0.2">
      <c r="A103" s="1"/>
      <c r="C103" s="3"/>
    </row>
    <row r="104" spans="1:3" x14ac:dyDescent="0.2">
      <c r="A104" s="1"/>
      <c r="C104" s="3"/>
    </row>
    <row r="105" spans="1:3" x14ac:dyDescent="0.2">
      <c r="A105" s="1"/>
      <c r="C105" s="3"/>
    </row>
    <row r="106" spans="1:3" x14ac:dyDescent="0.2">
      <c r="A106" s="1"/>
      <c r="C106" s="3"/>
    </row>
    <row r="107" spans="1:3" x14ac:dyDescent="0.2">
      <c r="A107" s="1"/>
      <c r="C107" s="3"/>
    </row>
    <row r="108" spans="1:3" x14ac:dyDescent="0.2">
      <c r="A108" s="1"/>
      <c r="C108" s="3"/>
    </row>
    <row r="109" spans="1:3" x14ac:dyDescent="0.2">
      <c r="A109" s="1"/>
      <c r="C109" s="3"/>
    </row>
    <row r="110" spans="1:3" x14ac:dyDescent="0.2">
      <c r="A110" s="1"/>
      <c r="C110" s="3"/>
    </row>
    <row r="111" spans="1:3" x14ac:dyDescent="0.2">
      <c r="A111" s="1"/>
      <c r="C111" s="3"/>
    </row>
    <row r="112" spans="1:3" x14ac:dyDescent="0.2">
      <c r="A112" s="1"/>
      <c r="C112" s="3"/>
    </row>
    <row r="113" spans="1:3" x14ac:dyDescent="0.2">
      <c r="A113" s="1"/>
      <c r="C113" s="3"/>
    </row>
    <row r="114" spans="1:3" x14ac:dyDescent="0.2">
      <c r="A114" s="1"/>
      <c r="C114" s="3"/>
    </row>
    <row r="115" spans="1:3" x14ac:dyDescent="0.2">
      <c r="A115" s="1"/>
      <c r="C115" s="3"/>
    </row>
    <row r="116" spans="1:3" x14ac:dyDescent="0.2">
      <c r="A116" s="1"/>
      <c r="C116" s="3"/>
    </row>
    <row r="117" spans="1:3" x14ac:dyDescent="0.2">
      <c r="A117" s="1"/>
      <c r="C117" s="3"/>
    </row>
    <row r="118" spans="1:3" x14ac:dyDescent="0.2">
      <c r="A118" s="1"/>
      <c r="C118" s="3"/>
    </row>
    <row r="119" spans="1:3" x14ac:dyDescent="0.2">
      <c r="A119" s="1"/>
      <c r="C119" s="3"/>
    </row>
    <row r="120" spans="1:3" x14ac:dyDescent="0.2">
      <c r="A120" s="1"/>
      <c r="C120" s="3"/>
    </row>
    <row r="121" spans="1:3" x14ac:dyDescent="0.2">
      <c r="A121" s="1"/>
      <c r="C121" s="3"/>
    </row>
    <row r="122" spans="1:3" x14ac:dyDescent="0.2">
      <c r="A122" s="1"/>
      <c r="C122" s="3"/>
    </row>
    <row r="123" spans="1:3" x14ac:dyDescent="0.2">
      <c r="A123" s="1"/>
      <c r="C123" s="3"/>
    </row>
    <row r="124" spans="1:3" x14ac:dyDescent="0.2">
      <c r="A124" s="1"/>
      <c r="C124" s="3"/>
    </row>
    <row r="125" spans="1:3" x14ac:dyDescent="0.2">
      <c r="A125" s="1"/>
      <c r="C125" s="3"/>
    </row>
    <row r="126" spans="1:3" x14ac:dyDescent="0.2">
      <c r="A126" s="1"/>
      <c r="C126" s="3"/>
    </row>
    <row r="127" spans="1:3" x14ac:dyDescent="0.2">
      <c r="A127" s="1"/>
      <c r="C127" s="3"/>
    </row>
    <row r="128" spans="1:3" x14ac:dyDescent="0.2">
      <c r="C128" s="3"/>
    </row>
    <row r="129" spans="3:3" x14ac:dyDescent="0.2">
      <c r="C129" s="3"/>
    </row>
    <row r="130" spans="3:3" x14ac:dyDescent="0.2">
      <c r="C130" s="3"/>
    </row>
    <row r="131" spans="3:3" x14ac:dyDescent="0.2">
      <c r="C131" s="3"/>
    </row>
    <row r="132" spans="3:3" x14ac:dyDescent="0.2">
      <c r="C132" s="3"/>
    </row>
    <row r="133" spans="3:3" x14ac:dyDescent="0.2">
      <c r="C133" s="3"/>
    </row>
    <row r="134" spans="3:3" x14ac:dyDescent="0.2">
      <c r="C134" s="3"/>
    </row>
    <row r="135" spans="3:3" x14ac:dyDescent="0.2">
      <c r="C135" s="3"/>
    </row>
    <row r="136" spans="3:3" x14ac:dyDescent="0.2">
      <c r="C136" s="3"/>
    </row>
    <row r="137" spans="3:3" x14ac:dyDescent="0.2">
      <c r="C137" s="3"/>
    </row>
    <row r="138" spans="3:3" x14ac:dyDescent="0.2">
      <c r="C138" s="3"/>
    </row>
    <row r="139" spans="3:3" x14ac:dyDescent="0.2">
      <c r="C139" s="3"/>
    </row>
    <row r="140" spans="3:3" x14ac:dyDescent="0.2">
      <c r="C140" s="3"/>
    </row>
    <row r="141" spans="3:3" x14ac:dyDescent="0.2">
      <c r="C141" s="3"/>
    </row>
    <row r="142" spans="3:3" x14ac:dyDescent="0.2">
      <c r="C142" s="3"/>
    </row>
    <row r="143" spans="3:3" x14ac:dyDescent="0.2">
      <c r="C143" s="3"/>
    </row>
    <row r="144" spans="3:3" x14ac:dyDescent="0.2">
      <c r="C144" s="3"/>
    </row>
    <row r="145" spans="3:3" x14ac:dyDescent="0.2">
      <c r="C145" s="3"/>
    </row>
    <row r="146" spans="3:3" x14ac:dyDescent="0.2">
      <c r="C146" s="3"/>
    </row>
    <row r="147" spans="3:3" x14ac:dyDescent="0.2">
      <c r="C147" s="3"/>
    </row>
    <row r="148" spans="3:3" x14ac:dyDescent="0.2">
      <c r="C148" s="3"/>
    </row>
    <row r="149" spans="3:3" x14ac:dyDescent="0.2">
      <c r="C149" s="3"/>
    </row>
    <row r="150" spans="3:3" x14ac:dyDescent="0.2">
      <c r="C150" s="3"/>
    </row>
    <row r="151" spans="3:3" x14ac:dyDescent="0.2">
      <c r="C151" s="3"/>
    </row>
    <row r="152" spans="3:3" x14ac:dyDescent="0.2">
      <c r="C152" s="3"/>
    </row>
    <row r="153" spans="3:3" x14ac:dyDescent="0.2">
      <c r="C153" s="3"/>
    </row>
    <row r="154" spans="3:3" x14ac:dyDescent="0.2">
      <c r="C154" s="3"/>
    </row>
    <row r="155" spans="3:3" x14ac:dyDescent="0.2">
      <c r="C155" s="3"/>
    </row>
    <row r="156" spans="3:3" x14ac:dyDescent="0.2">
      <c r="C156" s="3"/>
    </row>
    <row r="157" spans="3:3" x14ac:dyDescent="0.2">
      <c r="C157" s="3"/>
    </row>
    <row r="158" spans="3:3" x14ac:dyDescent="0.2">
      <c r="C158" s="3"/>
    </row>
    <row r="159" spans="3:3" x14ac:dyDescent="0.2">
      <c r="C159" s="3"/>
    </row>
    <row r="160" spans="3:3" x14ac:dyDescent="0.2">
      <c r="C160" s="3"/>
    </row>
    <row r="161" spans="3:3" x14ac:dyDescent="0.2">
      <c r="C161" s="3"/>
    </row>
    <row r="162" spans="3:3" x14ac:dyDescent="0.2">
      <c r="C162" s="3"/>
    </row>
    <row r="163" spans="3:3" x14ac:dyDescent="0.2">
      <c r="C163" s="3"/>
    </row>
    <row r="164" spans="3:3" x14ac:dyDescent="0.2">
      <c r="C164" s="3"/>
    </row>
    <row r="165" spans="3:3" x14ac:dyDescent="0.2">
      <c r="C165" s="3"/>
    </row>
    <row r="166" spans="3:3" x14ac:dyDescent="0.2">
      <c r="C166" s="3"/>
    </row>
    <row r="167" spans="3:3" x14ac:dyDescent="0.2">
      <c r="C167" s="3"/>
    </row>
    <row r="168" spans="3:3" x14ac:dyDescent="0.2">
      <c r="C168" s="3"/>
    </row>
    <row r="169" spans="3:3" x14ac:dyDescent="0.2">
      <c r="C169" s="3"/>
    </row>
    <row r="170" spans="3:3" x14ac:dyDescent="0.2">
      <c r="C170" s="3"/>
    </row>
    <row r="171" spans="3:3" x14ac:dyDescent="0.2">
      <c r="C171" s="3"/>
    </row>
    <row r="172" spans="3:3" x14ac:dyDescent="0.2">
      <c r="C172" s="3"/>
    </row>
    <row r="173" spans="3:3" x14ac:dyDescent="0.2">
      <c r="C173" s="3"/>
    </row>
    <row r="174" spans="3:3" x14ac:dyDescent="0.2">
      <c r="C174" s="3"/>
    </row>
    <row r="175" spans="3:3" x14ac:dyDescent="0.2">
      <c r="C175" s="3"/>
    </row>
    <row r="176" spans="3:3" x14ac:dyDescent="0.2">
      <c r="C176" s="3"/>
    </row>
    <row r="177" spans="3:3" x14ac:dyDescent="0.2">
      <c r="C177" s="3"/>
    </row>
    <row r="178" spans="3:3" x14ac:dyDescent="0.2">
      <c r="C178" s="3"/>
    </row>
    <row r="179" spans="3:3" x14ac:dyDescent="0.2">
      <c r="C179" s="3"/>
    </row>
    <row r="180" spans="3:3" x14ac:dyDescent="0.2">
      <c r="C180" s="3"/>
    </row>
    <row r="181" spans="3:3" x14ac:dyDescent="0.2">
      <c r="C181" s="3"/>
    </row>
    <row r="182" spans="3:3" x14ac:dyDescent="0.2">
      <c r="C182" s="3"/>
    </row>
    <row r="183" spans="3:3" x14ac:dyDescent="0.2">
      <c r="C183" s="3"/>
    </row>
    <row r="184" spans="3:3" x14ac:dyDescent="0.2">
      <c r="C184" s="3"/>
    </row>
    <row r="185" spans="3:3" x14ac:dyDescent="0.2">
      <c r="C185" s="3"/>
    </row>
    <row r="186" spans="3:3" x14ac:dyDescent="0.2">
      <c r="C186" s="3"/>
    </row>
    <row r="187" spans="3:3" x14ac:dyDescent="0.2">
      <c r="C187" s="3"/>
    </row>
    <row r="188" spans="3:3" x14ac:dyDescent="0.2">
      <c r="C188" s="3"/>
    </row>
    <row r="189" spans="3:3" x14ac:dyDescent="0.2">
      <c r="C189" s="3"/>
    </row>
    <row r="190" spans="3:3" x14ac:dyDescent="0.2">
      <c r="C190" s="3"/>
    </row>
    <row r="191" spans="3:3" x14ac:dyDescent="0.2">
      <c r="C191" s="3"/>
    </row>
    <row r="192" spans="3:3" x14ac:dyDescent="0.2">
      <c r="C192" s="3"/>
    </row>
    <row r="193" spans="3:3" x14ac:dyDescent="0.2">
      <c r="C193" s="3"/>
    </row>
    <row r="194" spans="3:3" x14ac:dyDescent="0.2">
      <c r="C194" s="3"/>
    </row>
    <row r="195" spans="3:3" x14ac:dyDescent="0.2">
      <c r="C195" s="3"/>
    </row>
    <row r="196" spans="3:3" x14ac:dyDescent="0.2">
      <c r="C196" s="3"/>
    </row>
    <row r="197" spans="3:3" x14ac:dyDescent="0.2">
      <c r="C197" s="3"/>
    </row>
    <row r="198" spans="3:3" x14ac:dyDescent="0.2">
      <c r="C198" s="3"/>
    </row>
    <row r="199" spans="3:3" x14ac:dyDescent="0.2">
      <c r="C199" s="3"/>
    </row>
    <row r="200" spans="3:3" x14ac:dyDescent="0.2">
      <c r="C200" s="3"/>
    </row>
    <row r="201" spans="3:3" x14ac:dyDescent="0.2">
      <c r="C201" s="3"/>
    </row>
    <row r="202" spans="3:3" x14ac:dyDescent="0.2">
      <c r="C202" s="3"/>
    </row>
    <row r="203" spans="3:3" x14ac:dyDescent="0.2">
      <c r="C203" s="3"/>
    </row>
    <row r="204" spans="3:3" x14ac:dyDescent="0.2">
      <c r="C204" s="3"/>
    </row>
    <row r="205" spans="3:3" x14ac:dyDescent="0.2">
      <c r="C205" s="3"/>
    </row>
    <row r="206" spans="3:3" x14ac:dyDescent="0.2">
      <c r="C206" s="3"/>
    </row>
    <row r="207" spans="3:3" x14ac:dyDescent="0.2">
      <c r="C207" s="3"/>
    </row>
    <row r="208" spans="3:3" x14ac:dyDescent="0.2">
      <c r="C208" s="3"/>
    </row>
    <row r="209" spans="3:3" x14ac:dyDescent="0.2">
      <c r="C209" s="3"/>
    </row>
    <row r="210" spans="3:3" x14ac:dyDescent="0.2">
      <c r="C210" s="3"/>
    </row>
    <row r="211" spans="3:3" x14ac:dyDescent="0.2">
      <c r="C211" s="3"/>
    </row>
    <row r="212" spans="3:3" x14ac:dyDescent="0.2">
      <c r="C212" s="3"/>
    </row>
    <row r="213" spans="3:3" x14ac:dyDescent="0.2">
      <c r="C213" s="3"/>
    </row>
    <row r="214" spans="3:3" x14ac:dyDescent="0.2">
      <c r="C214" s="3"/>
    </row>
    <row r="215" spans="3:3" x14ac:dyDescent="0.2">
      <c r="C215" s="3"/>
    </row>
    <row r="216" spans="3:3" x14ac:dyDescent="0.2">
      <c r="C216" s="3"/>
    </row>
    <row r="217" spans="3:3" x14ac:dyDescent="0.2">
      <c r="C217" s="3"/>
    </row>
    <row r="218" spans="3:3" x14ac:dyDescent="0.2">
      <c r="C218" s="3"/>
    </row>
    <row r="219" spans="3:3" x14ac:dyDescent="0.2">
      <c r="C219" s="3"/>
    </row>
    <row r="220" spans="3:3" x14ac:dyDescent="0.2">
      <c r="C220" s="3"/>
    </row>
    <row r="221" spans="3:3" x14ac:dyDescent="0.2">
      <c r="C221" s="3"/>
    </row>
    <row r="222" spans="3:3" x14ac:dyDescent="0.2">
      <c r="C222" s="3"/>
    </row>
    <row r="223" spans="3:3" x14ac:dyDescent="0.2">
      <c r="C223" s="3"/>
    </row>
    <row r="224" spans="3:3" x14ac:dyDescent="0.2">
      <c r="C224" s="3"/>
    </row>
    <row r="225" spans="3:3" x14ac:dyDescent="0.2">
      <c r="C225" s="3"/>
    </row>
    <row r="226" spans="3:3" x14ac:dyDescent="0.2">
      <c r="C226" s="3"/>
    </row>
    <row r="227" spans="3:3" x14ac:dyDescent="0.2">
      <c r="C227" s="3"/>
    </row>
    <row r="228" spans="3:3" x14ac:dyDescent="0.2">
      <c r="C228" s="3"/>
    </row>
    <row r="229" spans="3:3" x14ac:dyDescent="0.2">
      <c r="C229" s="3"/>
    </row>
    <row r="230" spans="3:3" x14ac:dyDescent="0.2">
      <c r="C230" s="3"/>
    </row>
    <row r="231" spans="3:3" x14ac:dyDescent="0.2">
      <c r="C231" s="3"/>
    </row>
    <row r="232" spans="3:3" x14ac:dyDescent="0.2">
      <c r="C232" s="3"/>
    </row>
    <row r="233" spans="3:3" x14ac:dyDescent="0.2">
      <c r="C233" s="3"/>
    </row>
    <row r="234" spans="3:3" x14ac:dyDescent="0.2">
      <c r="C234" s="3"/>
    </row>
    <row r="235" spans="3:3" x14ac:dyDescent="0.2">
      <c r="C235" s="3"/>
    </row>
    <row r="236" spans="3:3" x14ac:dyDescent="0.2">
      <c r="C236" s="3"/>
    </row>
    <row r="237" spans="3:3" x14ac:dyDescent="0.2">
      <c r="C237" s="3"/>
    </row>
    <row r="238" spans="3:3" x14ac:dyDescent="0.2">
      <c r="C238" s="3"/>
    </row>
    <row r="239" spans="3:3" x14ac:dyDescent="0.2">
      <c r="C239" s="3"/>
    </row>
    <row r="240" spans="3:3" x14ac:dyDescent="0.2">
      <c r="C240" s="3"/>
    </row>
    <row r="241" spans="3:3" x14ac:dyDescent="0.2">
      <c r="C241" s="3"/>
    </row>
    <row r="242" spans="3:3" x14ac:dyDescent="0.2">
      <c r="C242" s="3"/>
    </row>
    <row r="243" spans="3:3" x14ac:dyDescent="0.2">
      <c r="C243" s="3"/>
    </row>
    <row r="244" spans="3:3" x14ac:dyDescent="0.2">
      <c r="C244" s="3"/>
    </row>
    <row r="245" spans="3:3" x14ac:dyDescent="0.2">
      <c r="C245" s="3"/>
    </row>
    <row r="246" spans="3:3" x14ac:dyDescent="0.2">
      <c r="C246" s="3"/>
    </row>
    <row r="247" spans="3:3" x14ac:dyDescent="0.2">
      <c r="C247" s="3"/>
    </row>
    <row r="248" spans="3:3" x14ac:dyDescent="0.2">
      <c r="C248" s="3"/>
    </row>
    <row r="249" spans="3:3" x14ac:dyDescent="0.2">
      <c r="C249" s="3"/>
    </row>
    <row r="250" spans="3:3" x14ac:dyDescent="0.2">
      <c r="C250" s="3"/>
    </row>
    <row r="251" spans="3:3" x14ac:dyDescent="0.2">
      <c r="C251" s="3"/>
    </row>
    <row r="252" spans="3:3" x14ac:dyDescent="0.2">
      <c r="C252" s="3"/>
    </row>
    <row r="253" spans="3:3" x14ac:dyDescent="0.2">
      <c r="C253" s="3"/>
    </row>
    <row r="254" spans="3:3" x14ac:dyDescent="0.2">
      <c r="C254" s="3"/>
    </row>
    <row r="255" spans="3:3" x14ac:dyDescent="0.2">
      <c r="C255" s="3"/>
    </row>
    <row r="256" spans="3:3" x14ac:dyDescent="0.2">
      <c r="C256" s="3"/>
    </row>
    <row r="257" spans="3:3" x14ac:dyDescent="0.2">
      <c r="C257" s="3"/>
    </row>
    <row r="258" spans="3:3" x14ac:dyDescent="0.2">
      <c r="C258" s="3"/>
    </row>
    <row r="259" spans="3:3" x14ac:dyDescent="0.2">
      <c r="C259" s="3"/>
    </row>
    <row r="260" spans="3:3" x14ac:dyDescent="0.2">
      <c r="C260" s="3"/>
    </row>
    <row r="261" spans="3:3" x14ac:dyDescent="0.2">
      <c r="C261" s="3"/>
    </row>
    <row r="262" spans="3:3" x14ac:dyDescent="0.2">
      <c r="C262" s="3"/>
    </row>
    <row r="263" spans="3:3" x14ac:dyDescent="0.2">
      <c r="C263" s="3"/>
    </row>
    <row r="264" spans="3:3" x14ac:dyDescent="0.2">
      <c r="C264" s="3"/>
    </row>
    <row r="265" spans="3:3" x14ac:dyDescent="0.2">
      <c r="C265" s="3"/>
    </row>
    <row r="266" spans="3:3" x14ac:dyDescent="0.2">
      <c r="C266" s="3"/>
    </row>
    <row r="267" spans="3:3" x14ac:dyDescent="0.2">
      <c r="C267" s="3"/>
    </row>
    <row r="268" spans="3:3" x14ac:dyDescent="0.2">
      <c r="C268" s="3"/>
    </row>
    <row r="269" spans="3:3" x14ac:dyDescent="0.2">
      <c r="C269" s="3"/>
    </row>
    <row r="270" spans="3:3" x14ac:dyDescent="0.2">
      <c r="C270" s="3"/>
    </row>
    <row r="271" spans="3:3" x14ac:dyDescent="0.2">
      <c r="C271" s="3"/>
    </row>
    <row r="272" spans="3:3" x14ac:dyDescent="0.2">
      <c r="C272" s="3"/>
    </row>
    <row r="273" spans="3:3" x14ac:dyDescent="0.2">
      <c r="C273" s="3"/>
    </row>
    <row r="274" spans="3:3" x14ac:dyDescent="0.2">
      <c r="C274" s="3"/>
    </row>
    <row r="275" spans="3:3" x14ac:dyDescent="0.2">
      <c r="C275" s="3"/>
    </row>
    <row r="276" spans="3:3" x14ac:dyDescent="0.2">
      <c r="C276" s="3"/>
    </row>
    <row r="277" spans="3:3" x14ac:dyDescent="0.2">
      <c r="C277" s="3"/>
    </row>
    <row r="278" spans="3:3" x14ac:dyDescent="0.2">
      <c r="C278" s="3"/>
    </row>
    <row r="279" spans="3:3" x14ac:dyDescent="0.2">
      <c r="C279" s="3"/>
    </row>
    <row r="280" spans="3:3" x14ac:dyDescent="0.2">
      <c r="C280" s="3"/>
    </row>
    <row r="281" spans="3:3" x14ac:dyDescent="0.2">
      <c r="C281" s="3"/>
    </row>
    <row r="282" spans="3:3" x14ac:dyDescent="0.2">
      <c r="C282" s="3"/>
    </row>
    <row r="283" spans="3:3" x14ac:dyDescent="0.2">
      <c r="C283" s="3"/>
    </row>
    <row r="284" spans="3:3" x14ac:dyDescent="0.2">
      <c r="C284" s="3"/>
    </row>
    <row r="285" spans="3:3" x14ac:dyDescent="0.2">
      <c r="C285" s="3"/>
    </row>
    <row r="286" spans="3:3" x14ac:dyDescent="0.2">
      <c r="C286" s="3"/>
    </row>
    <row r="287" spans="3:3" x14ac:dyDescent="0.2">
      <c r="C287" s="3"/>
    </row>
    <row r="288" spans="3:3" x14ac:dyDescent="0.2">
      <c r="C288" s="3"/>
    </row>
    <row r="289" spans="3:3" x14ac:dyDescent="0.2">
      <c r="C289" s="3"/>
    </row>
    <row r="290" spans="3:3" x14ac:dyDescent="0.2">
      <c r="C290" s="3"/>
    </row>
    <row r="291" spans="3:3" x14ac:dyDescent="0.2">
      <c r="C291" s="3"/>
    </row>
    <row r="292" spans="3:3" x14ac:dyDescent="0.2">
      <c r="C292" s="3"/>
    </row>
    <row r="293" spans="3:3" x14ac:dyDescent="0.2">
      <c r="C293" s="3"/>
    </row>
    <row r="294" spans="3:3" x14ac:dyDescent="0.2">
      <c r="C294" s="3"/>
    </row>
    <row r="295" spans="3:3" x14ac:dyDescent="0.2">
      <c r="C295" s="3"/>
    </row>
    <row r="296" spans="3:3" x14ac:dyDescent="0.2">
      <c r="C296" s="3"/>
    </row>
    <row r="297" spans="3:3" x14ac:dyDescent="0.2">
      <c r="C297" s="3"/>
    </row>
    <row r="298" spans="3:3" x14ac:dyDescent="0.2">
      <c r="C298" s="3"/>
    </row>
    <row r="299" spans="3:3" x14ac:dyDescent="0.2">
      <c r="C299" s="3"/>
    </row>
    <row r="300" spans="3:3" x14ac:dyDescent="0.2">
      <c r="C300" s="3"/>
    </row>
    <row r="301" spans="3:3" x14ac:dyDescent="0.2">
      <c r="C301" s="3"/>
    </row>
    <row r="302" spans="3:3" x14ac:dyDescent="0.2">
      <c r="C302" s="3"/>
    </row>
    <row r="303" spans="3:3" x14ac:dyDescent="0.2">
      <c r="C303" s="3"/>
    </row>
    <row r="304" spans="3:3" x14ac:dyDescent="0.2">
      <c r="C304" s="3"/>
    </row>
    <row r="305" spans="3:3" x14ac:dyDescent="0.2">
      <c r="C305" s="3"/>
    </row>
    <row r="306" spans="3:3" x14ac:dyDescent="0.2">
      <c r="C306" s="3"/>
    </row>
    <row r="307" spans="3:3" x14ac:dyDescent="0.2">
      <c r="C307" s="3"/>
    </row>
    <row r="308" spans="3:3" x14ac:dyDescent="0.2">
      <c r="C308" s="3"/>
    </row>
    <row r="309" spans="3:3" x14ac:dyDescent="0.2">
      <c r="C309" s="3"/>
    </row>
    <row r="310" spans="3:3" x14ac:dyDescent="0.2">
      <c r="C310" s="3"/>
    </row>
    <row r="311" spans="3:3" x14ac:dyDescent="0.2">
      <c r="C311" s="3"/>
    </row>
    <row r="312" spans="3:3" x14ac:dyDescent="0.2">
      <c r="C312" s="3"/>
    </row>
    <row r="313" spans="3:3" x14ac:dyDescent="0.2">
      <c r="C313" s="3"/>
    </row>
    <row r="314" spans="3:3" x14ac:dyDescent="0.2">
      <c r="C314" s="3"/>
    </row>
    <row r="315" spans="3:3" x14ac:dyDescent="0.2">
      <c r="C315" s="3"/>
    </row>
    <row r="316" spans="3:3" x14ac:dyDescent="0.2">
      <c r="C316" s="3"/>
    </row>
    <row r="317" spans="3:3" x14ac:dyDescent="0.2">
      <c r="C317" s="3"/>
    </row>
    <row r="318" spans="3:3" x14ac:dyDescent="0.2">
      <c r="C318" s="3"/>
    </row>
    <row r="319" spans="3:3" x14ac:dyDescent="0.2">
      <c r="C319" s="3"/>
    </row>
    <row r="320" spans="3:3" x14ac:dyDescent="0.2">
      <c r="C320" s="3"/>
    </row>
    <row r="321" spans="3:3" x14ac:dyDescent="0.2">
      <c r="C321" s="3"/>
    </row>
    <row r="322" spans="3:3" x14ac:dyDescent="0.2">
      <c r="C322" s="3"/>
    </row>
    <row r="323" spans="3:3" x14ac:dyDescent="0.2">
      <c r="C323" s="3"/>
    </row>
    <row r="324" spans="3:3" x14ac:dyDescent="0.2">
      <c r="C324" s="3"/>
    </row>
    <row r="325" spans="3:3" x14ac:dyDescent="0.2">
      <c r="C325" s="3"/>
    </row>
    <row r="326" spans="3:3" x14ac:dyDescent="0.2">
      <c r="C326" s="3"/>
    </row>
    <row r="327" spans="3:3" x14ac:dyDescent="0.2">
      <c r="C327" s="3"/>
    </row>
    <row r="328" spans="3:3" x14ac:dyDescent="0.2">
      <c r="C328" s="3"/>
    </row>
    <row r="329" spans="3:3" x14ac:dyDescent="0.2">
      <c r="C329" s="3"/>
    </row>
    <row r="330" spans="3:3" x14ac:dyDescent="0.2">
      <c r="C330" s="3"/>
    </row>
    <row r="331" spans="3:3" x14ac:dyDescent="0.2">
      <c r="C331" s="3"/>
    </row>
    <row r="332" spans="3:3" x14ac:dyDescent="0.2">
      <c r="C332" s="3"/>
    </row>
    <row r="333" spans="3:3" x14ac:dyDescent="0.2">
      <c r="C333" s="3"/>
    </row>
    <row r="334" spans="3:3" x14ac:dyDescent="0.2">
      <c r="C334" s="3"/>
    </row>
    <row r="335" spans="3:3" x14ac:dyDescent="0.2">
      <c r="C335" s="3"/>
    </row>
    <row r="336" spans="3:3" x14ac:dyDescent="0.2">
      <c r="C336" s="3"/>
    </row>
    <row r="337" spans="3:3" x14ac:dyDescent="0.2">
      <c r="C337" s="3"/>
    </row>
    <row r="338" spans="3:3" x14ac:dyDescent="0.2">
      <c r="C338" s="3"/>
    </row>
    <row r="339" spans="3:3" x14ac:dyDescent="0.2">
      <c r="C339" s="3"/>
    </row>
    <row r="340" spans="3:3" x14ac:dyDescent="0.2">
      <c r="C340" s="3"/>
    </row>
    <row r="341" spans="3:3" x14ac:dyDescent="0.2">
      <c r="C341" s="3"/>
    </row>
    <row r="342" spans="3:3" x14ac:dyDescent="0.2">
      <c r="C342" s="3"/>
    </row>
    <row r="343" spans="3:3" x14ac:dyDescent="0.2">
      <c r="C343" s="3"/>
    </row>
    <row r="344" spans="3:3" x14ac:dyDescent="0.2">
      <c r="C344" s="3"/>
    </row>
    <row r="345" spans="3:3" x14ac:dyDescent="0.2">
      <c r="C345" s="3"/>
    </row>
    <row r="346" spans="3:3" x14ac:dyDescent="0.2">
      <c r="C346" s="3"/>
    </row>
    <row r="347" spans="3:3" x14ac:dyDescent="0.2">
      <c r="C347" s="3"/>
    </row>
    <row r="348" spans="3:3" x14ac:dyDescent="0.2">
      <c r="C348" s="3"/>
    </row>
    <row r="349" spans="3:3" x14ac:dyDescent="0.2">
      <c r="C349" s="3"/>
    </row>
    <row r="350" spans="3:3" x14ac:dyDescent="0.2">
      <c r="C350" s="3"/>
    </row>
    <row r="351" spans="3:3" x14ac:dyDescent="0.2">
      <c r="C351" s="3"/>
    </row>
    <row r="352" spans="3:3" x14ac:dyDescent="0.2">
      <c r="C352" s="3"/>
    </row>
    <row r="353" spans="3:3" x14ac:dyDescent="0.2">
      <c r="C353" s="3"/>
    </row>
    <row r="354" spans="3:3" x14ac:dyDescent="0.2">
      <c r="C354" s="3"/>
    </row>
    <row r="355" spans="3:3" x14ac:dyDescent="0.2">
      <c r="C355" s="3"/>
    </row>
    <row r="356" spans="3:3" x14ac:dyDescent="0.2">
      <c r="C356" s="3"/>
    </row>
    <row r="357" spans="3:3" x14ac:dyDescent="0.2">
      <c r="C357" s="3"/>
    </row>
    <row r="358" spans="3:3" x14ac:dyDescent="0.2">
      <c r="C358" s="3"/>
    </row>
    <row r="359" spans="3:3" x14ac:dyDescent="0.2">
      <c r="C359" s="3"/>
    </row>
    <row r="360" spans="3:3" x14ac:dyDescent="0.2">
      <c r="C360" s="3"/>
    </row>
    <row r="361" spans="3:3" x14ac:dyDescent="0.2">
      <c r="C361" s="3"/>
    </row>
    <row r="362" spans="3:3" x14ac:dyDescent="0.2">
      <c r="C362" s="3"/>
    </row>
    <row r="363" spans="3:3" x14ac:dyDescent="0.2">
      <c r="C363" s="3"/>
    </row>
    <row r="364" spans="3:3" x14ac:dyDescent="0.2">
      <c r="C364" s="3"/>
    </row>
    <row r="365" spans="3:3" x14ac:dyDescent="0.2">
      <c r="C365" s="3"/>
    </row>
    <row r="366" spans="3:3" x14ac:dyDescent="0.2">
      <c r="C366" s="3"/>
    </row>
    <row r="367" spans="3:3" x14ac:dyDescent="0.2">
      <c r="C367" s="3"/>
    </row>
    <row r="368" spans="3:3" x14ac:dyDescent="0.2">
      <c r="C368" s="3"/>
    </row>
    <row r="369" spans="3:3" x14ac:dyDescent="0.2">
      <c r="C369" s="3"/>
    </row>
    <row r="370" spans="3:3" x14ac:dyDescent="0.2">
      <c r="C370" s="3"/>
    </row>
    <row r="371" spans="3:3" x14ac:dyDescent="0.2">
      <c r="C371" s="3"/>
    </row>
    <row r="372" spans="3:3" x14ac:dyDescent="0.2">
      <c r="C372" s="3"/>
    </row>
    <row r="373" spans="3:3" x14ac:dyDescent="0.2">
      <c r="C373" s="3"/>
    </row>
    <row r="374" spans="3:3" x14ac:dyDescent="0.2">
      <c r="C374" s="3"/>
    </row>
    <row r="375" spans="3:3" x14ac:dyDescent="0.2">
      <c r="C375" s="3"/>
    </row>
    <row r="376" spans="3:3" x14ac:dyDescent="0.2">
      <c r="C376" s="3"/>
    </row>
    <row r="377" spans="3:3" x14ac:dyDescent="0.2">
      <c r="C377" s="3"/>
    </row>
    <row r="378" spans="3:3" x14ac:dyDescent="0.2">
      <c r="C378" s="3"/>
    </row>
    <row r="379" spans="3:3" x14ac:dyDescent="0.2">
      <c r="C379" s="3"/>
    </row>
    <row r="380" spans="3:3" x14ac:dyDescent="0.2">
      <c r="C380" s="3"/>
    </row>
    <row r="381" spans="3:3" x14ac:dyDescent="0.2">
      <c r="C381" s="3"/>
    </row>
    <row r="382" spans="3:3" x14ac:dyDescent="0.2">
      <c r="C382" s="3"/>
    </row>
    <row r="383" spans="3:3" x14ac:dyDescent="0.2">
      <c r="C383" s="3"/>
    </row>
    <row r="384" spans="3:3" x14ac:dyDescent="0.2">
      <c r="C384" s="3"/>
    </row>
    <row r="385" spans="3:3" x14ac:dyDescent="0.2">
      <c r="C385" s="3"/>
    </row>
    <row r="386" spans="3:3" x14ac:dyDescent="0.2">
      <c r="C386" s="3"/>
    </row>
    <row r="387" spans="3:3" x14ac:dyDescent="0.2">
      <c r="C387" s="3"/>
    </row>
    <row r="388" spans="3:3" x14ac:dyDescent="0.2">
      <c r="C388" s="3"/>
    </row>
    <row r="389" spans="3:3" x14ac:dyDescent="0.2">
      <c r="C389" s="3"/>
    </row>
    <row r="390" spans="3:3" x14ac:dyDescent="0.2">
      <c r="C390" s="3"/>
    </row>
    <row r="391" spans="3:3" x14ac:dyDescent="0.2">
      <c r="C391" s="3"/>
    </row>
    <row r="392" spans="3:3" x14ac:dyDescent="0.2">
      <c r="C392" s="3"/>
    </row>
    <row r="393" spans="3:3" x14ac:dyDescent="0.2">
      <c r="C393" s="3"/>
    </row>
    <row r="394" spans="3:3" x14ac:dyDescent="0.2">
      <c r="C394" s="3"/>
    </row>
    <row r="395" spans="3:3" x14ac:dyDescent="0.2">
      <c r="C395" s="3"/>
    </row>
    <row r="396" spans="3:3" x14ac:dyDescent="0.2">
      <c r="C396" s="3"/>
    </row>
    <row r="397" spans="3:3" x14ac:dyDescent="0.2">
      <c r="C397" s="3"/>
    </row>
    <row r="398" spans="3:3" x14ac:dyDescent="0.2">
      <c r="C398" s="3"/>
    </row>
    <row r="399" spans="3:3" x14ac:dyDescent="0.2">
      <c r="C399" s="3"/>
    </row>
    <row r="400" spans="3:3" x14ac:dyDescent="0.2">
      <c r="C400" s="3"/>
    </row>
    <row r="401" spans="3:3" x14ac:dyDescent="0.2">
      <c r="C401" s="3"/>
    </row>
    <row r="402" spans="3:3" x14ac:dyDescent="0.2">
      <c r="C402" s="3"/>
    </row>
    <row r="403" spans="3:3" x14ac:dyDescent="0.2">
      <c r="C403" s="3"/>
    </row>
    <row r="404" spans="3:3" x14ac:dyDescent="0.2">
      <c r="C404" s="3"/>
    </row>
    <row r="405" spans="3:3" x14ac:dyDescent="0.2">
      <c r="C405" s="3"/>
    </row>
    <row r="406" spans="3:3" x14ac:dyDescent="0.2">
      <c r="C406" s="3"/>
    </row>
    <row r="407" spans="3:3" x14ac:dyDescent="0.2">
      <c r="C407" s="3"/>
    </row>
    <row r="408" spans="3:3" x14ac:dyDescent="0.2">
      <c r="C408" s="3"/>
    </row>
    <row r="409" spans="3:3" x14ac:dyDescent="0.2">
      <c r="C409" s="3"/>
    </row>
    <row r="410" spans="3:3" x14ac:dyDescent="0.2">
      <c r="C410" s="3"/>
    </row>
    <row r="411" spans="3:3" x14ac:dyDescent="0.2">
      <c r="C411" s="3"/>
    </row>
    <row r="412" spans="3:3" x14ac:dyDescent="0.2">
      <c r="C412" s="3"/>
    </row>
    <row r="413" spans="3:3" x14ac:dyDescent="0.2">
      <c r="C413" s="3"/>
    </row>
    <row r="414" spans="3:3" x14ac:dyDescent="0.2">
      <c r="C414" s="3"/>
    </row>
    <row r="415" spans="3:3" x14ac:dyDescent="0.2">
      <c r="C415" s="3"/>
    </row>
    <row r="416" spans="3:3" x14ac:dyDescent="0.2">
      <c r="C416" s="3"/>
    </row>
    <row r="417" spans="3:3" x14ac:dyDescent="0.2">
      <c r="C417" s="3"/>
    </row>
    <row r="418" spans="3:3" x14ac:dyDescent="0.2">
      <c r="C418" s="3"/>
    </row>
    <row r="419" spans="3:3" x14ac:dyDescent="0.2">
      <c r="C419" s="3"/>
    </row>
    <row r="420" spans="3:3" x14ac:dyDescent="0.2">
      <c r="C420" s="3"/>
    </row>
    <row r="421" spans="3:3" x14ac:dyDescent="0.2">
      <c r="C421" s="3"/>
    </row>
    <row r="422" spans="3:3" x14ac:dyDescent="0.2">
      <c r="C422" s="3"/>
    </row>
    <row r="423" spans="3:3" x14ac:dyDescent="0.2">
      <c r="C423" s="3"/>
    </row>
    <row r="424" spans="3:3" x14ac:dyDescent="0.2">
      <c r="C424" s="3"/>
    </row>
    <row r="425" spans="3:3" x14ac:dyDescent="0.2">
      <c r="C425" s="3"/>
    </row>
    <row r="426" spans="3:3" x14ac:dyDescent="0.2">
      <c r="C426" s="3"/>
    </row>
    <row r="427" spans="3:3" x14ac:dyDescent="0.2">
      <c r="C427" s="3"/>
    </row>
    <row r="428" spans="3:3" x14ac:dyDescent="0.2">
      <c r="C428" s="3"/>
    </row>
    <row r="429" spans="3:3" x14ac:dyDescent="0.2">
      <c r="C429" s="3"/>
    </row>
    <row r="430" spans="3:3" x14ac:dyDescent="0.2">
      <c r="C430" s="3"/>
    </row>
    <row r="431" spans="3:3" x14ac:dyDescent="0.2">
      <c r="C431" s="3"/>
    </row>
    <row r="432" spans="3:3" x14ac:dyDescent="0.2">
      <c r="C432" s="3"/>
    </row>
    <row r="433" spans="3:3" x14ac:dyDescent="0.2">
      <c r="C433" s="3"/>
    </row>
    <row r="434" spans="3:3" x14ac:dyDescent="0.2">
      <c r="C434" s="3"/>
    </row>
    <row r="435" spans="3:3" x14ac:dyDescent="0.2">
      <c r="C435" s="3"/>
    </row>
    <row r="436" spans="3:3" x14ac:dyDescent="0.2">
      <c r="C436" s="3"/>
    </row>
    <row r="437" spans="3:3" x14ac:dyDescent="0.2">
      <c r="C437" s="3"/>
    </row>
    <row r="438" spans="3:3" x14ac:dyDescent="0.2">
      <c r="C438" s="3"/>
    </row>
    <row r="439" spans="3:3" x14ac:dyDescent="0.2">
      <c r="C439" s="3"/>
    </row>
    <row r="440" spans="3:3" x14ac:dyDescent="0.2">
      <c r="C440" s="3"/>
    </row>
    <row r="441" spans="3:3" x14ac:dyDescent="0.2">
      <c r="C441" s="3"/>
    </row>
    <row r="442" spans="3:3" x14ac:dyDescent="0.2">
      <c r="C442" s="3"/>
    </row>
    <row r="443" spans="3:3" x14ac:dyDescent="0.2">
      <c r="C443" s="3"/>
    </row>
    <row r="444" spans="3:3" x14ac:dyDescent="0.2">
      <c r="C444" s="3"/>
    </row>
    <row r="445" spans="3:3" x14ac:dyDescent="0.2">
      <c r="C445" s="3"/>
    </row>
    <row r="446" spans="3:3" x14ac:dyDescent="0.2">
      <c r="C446" s="3"/>
    </row>
    <row r="447" spans="3:3" x14ac:dyDescent="0.2">
      <c r="C447" s="3"/>
    </row>
    <row r="448" spans="3:3" x14ac:dyDescent="0.2">
      <c r="C448" s="3"/>
    </row>
    <row r="449" spans="3:3" x14ac:dyDescent="0.2">
      <c r="C449" s="3"/>
    </row>
    <row r="450" spans="3:3" x14ac:dyDescent="0.2">
      <c r="C450" s="3"/>
    </row>
    <row r="451" spans="3:3" x14ac:dyDescent="0.2">
      <c r="C451" s="3"/>
    </row>
    <row r="452" spans="3:3" x14ac:dyDescent="0.2">
      <c r="C452" s="3"/>
    </row>
    <row r="453" spans="3:3" x14ac:dyDescent="0.2">
      <c r="C453" s="3"/>
    </row>
    <row r="454" spans="3:3" x14ac:dyDescent="0.2">
      <c r="C454" s="3"/>
    </row>
    <row r="455" spans="3:3" x14ac:dyDescent="0.2">
      <c r="C455" s="3"/>
    </row>
    <row r="456" spans="3:3" x14ac:dyDescent="0.2">
      <c r="C456" s="3"/>
    </row>
    <row r="457" spans="3:3" x14ac:dyDescent="0.2">
      <c r="C457" s="3"/>
    </row>
    <row r="458" spans="3:3" x14ac:dyDescent="0.2">
      <c r="C458" s="3"/>
    </row>
    <row r="459" spans="3:3" x14ac:dyDescent="0.2">
      <c r="C459" s="3"/>
    </row>
    <row r="460" spans="3:3" x14ac:dyDescent="0.2">
      <c r="C460" s="3"/>
    </row>
    <row r="461" spans="3:3" x14ac:dyDescent="0.2">
      <c r="C461" s="3"/>
    </row>
    <row r="462" spans="3:3" x14ac:dyDescent="0.2">
      <c r="C462" s="3"/>
    </row>
    <row r="463" spans="3:3" x14ac:dyDescent="0.2">
      <c r="C463" s="3"/>
    </row>
    <row r="464" spans="3:3" x14ac:dyDescent="0.2">
      <c r="C464" s="3"/>
    </row>
    <row r="465" spans="3:3" x14ac:dyDescent="0.2">
      <c r="C465" s="3"/>
    </row>
    <row r="466" spans="3:3" x14ac:dyDescent="0.2">
      <c r="C466" s="3"/>
    </row>
    <row r="467" spans="3:3" x14ac:dyDescent="0.2">
      <c r="C467" s="3"/>
    </row>
    <row r="468" spans="3:3" x14ac:dyDescent="0.2">
      <c r="C468" s="3"/>
    </row>
    <row r="469" spans="3:3" x14ac:dyDescent="0.2">
      <c r="C469" s="3"/>
    </row>
    <row r="470" spans="3:3" x14ac:dyDescent="0.2">
      <c r="C470" s="3"/>
    </row>
    <row r="471" spans="3:3" x14ac:dyDescent="0.2">
      <c r="C471" s="3"/>
    </row>
    <row r="472" spans="3:3" x14ac:dyDescent="0.2">
      <c r="C472" s="3"/>
    </row>
    <row r="473" spans="3:3" x14ac:dyDescent="0.2">
      <c r="C473" s="3"/>
    </row>
    <row r="474" spans="3:3" x14ac:dyDescent="0.2">
      <c r="C474" s="3"/>
    </row>
    <row r="475" spans="3:3" x14ac:dyDescent="0.2">
      <c r="C475" s="3"/>
    </row>
    <row r="476" spans="3:3" x14ac:dyDescent="0.2">
      <c r="C476" s="3"/>
    </row>
    <row r="477" spans="3:3" x14ac:dyDescent="0.2">
      <c r="C477" s="3"/>
    </row>
    <row r="478" spans="3:3" x14ac:dyDescent="0.2">
      <c r="C478" s="3"/>
    </row>
    <row r="479" spans="3:3" x14ac:dyDescent="0.2">
      <c r="C479" s="3"/>
    </row>
    <row r="480" spans="3:3" x14ac:dyDescent="0.2">
      <c r="C480" s="3"/>
    </row>
    <row r="481" spans="3:3" x14ac:dyDescent="0.2">
      <c r="C481" s="3"/>
    </row>
    <row r="482" spans="3:3" x14ac:dyDescent="0.2">
      <c r="C482" s="3"/>
    </row>
    <row r="483" spans="3:3" x14ac:dyDescent="0.2">
      <c r="C483" s="3"/>
    </row>
    <row r="484" spans="3:3" x14ac:dyDescent="0.2">
      <c r="C484" s="3"/>
    </row>
    <row r="485" spans="3:3" x14ac:dyDescent="0.2">
      <c r="C485" s="3"/>
    </row>
    <row r="486" spans="3:3" x14ac:dyDescent="0.2">
      <c r="C486" s="3"/>
    </row>
    <row r="487" spans="3:3" x14ac:dyDescent="0.2">
      <c r="C487" s="3"/>
    </row>
    <row r="488" spans="3:3" x14ac:dyDescent="0.2">
      <c r="C488" s="3"/>
    </row>
    <row r="489" spans="3:3" x14ac:dyDescent="0.2">
      <c r="C489" s="3"/>
    </row>
    <row r="490" spans="3:3" x14ac:dyDescent="0.2">
      <c r="C490" s="3"/>
    </row>
    <row r="491" spans="3:3" x14ac:dyDescent="0.2">
      <c r="C491" s="3"/>
    </row>
    <row r="492" spans="3:3" x14ac:dyDescent="0.2">
      <c r="C492" s="3"/>
    </row>
    <row r="493" spans="3:3" x14ac:dyDescent="0.2">
      <c r="C493" s="3"/>
    </row>
    <row r="494" spans="3:3" x14ac:dyDescent="0.2">
      <c r="C494" s="3"/>
    </row>
    <row r="495" spans="3:3" x14ac:dyDescent="0.2">
      <c r="C495" s="3"/>
    </row>
    <row r="496" spans="3:3" x14ac:dyDescent="0.2">
      <c r="C496" s="3"/>
    </row>
    <row r="497" spans="3:3" x14ac:dyDescent="0.2">
      <c r="C497" s="3"/>
    </row>
    <row r="498" spans="3:3" x14ac:dyDescent="0.2">
      <c r="C498" s="3"/>
    </row>
    <row r="499" spans="3:3" x14ac:dyDescent="0.2">
      <c r="C499" s="3"/>
    </row>
    <row r="500" spans="3:3" x14ac:dyDescent="0.2">
      <c r="C500" s="3"/>
    </row>
    <row r="501" spans="3:3" x14ac:dyDescent="0.2">
      <c r="C501" s="3"/>
    </row>
    <row r="502" spans="3:3" x14ac:dyDescent="0.2">
      <c r="C502" s="3"/>
    </row>
    <row r="503" spans="3:3" x14ac:dyDescent="0.2">
      <c r="C503" s="3"/>
    </row>
    <row r="504" spans="3:3" x14ac:dyDescent="0.2">
      <c r="C504" s="3"/>
    </row>
    <row r="505" spans="3:3" x14ac:dyDescent="0.2">
      <c r="C505" s="3"/>
    </row>
    <row r="506" spans="3:3" x14ac:dyDescent="0.2">
      <c r="C506" s="3"/>
    </row>
    <row r="507" spans="3:3" x14ac:dyDescent="0.2">
      <c r="C507" s="3"/>
    </row>
    <row r="508" spans="3:3" x14ac:dyDescent="0.2">
      <c r="C508" s="3"/>
    </row>
    <row r="509" spans="3:3" x14ac:dyDescent="0.2">
      <c r="C509" s="3"/>
    </row>
    <row r="510" spans="3:3" x14ac:dyDescent="0.2">
      <c r="C510" s="3"/>
    </row>
    <row r="511" spans="3:3" x14ac:dyDescent="0.2">
      <c r="C511" s="3"/>
    </row>
    <row r="512" spans="3:3" x14ac:dyDescent="0.2">
      <c r="C512" s="3"/>
    </row>
    <row r="513" spans="3:3" x14ac:dyDescent="0.2">
      <c r="C513" s="3"/>
    </row>
    <row r="514" spans="3:3" x14ac:dyDescent="0.2">
      <c r="C514" s="3"/>
    </row>
    <row r="515" spans="3:3" x14ac:dyDescent="0.2">
      <c r="C515" s="3"/>
    </row>
    <row r="516" spans="3:3" x14ac:dyDescent="0.2">
      <c r="C516" s="3"/>
    </row>
    <row r="517" spans="3:3" x14ac:dyDescent="0.2">
      <c r="C517" s="3"/>
    </row>
    <row r="518" spans="3:3" x14ac:dyDescent="0.2">
      <c r="C518" s="3"/>
    </row>
    <row r="519" spans="3:3" x14ac:dyDescent="0.2">
      <c r="C519" s="3"/>
    </row>
    <row r="520" spans="3:3" x14ac:dyDescent="0.2">
      <c r="C520" s="3"/>
    </row>
    <row r="521" spans="3:3" x14ac:dyDescent="0.2">
      <c r="C521" s="3"/>
    </row>
    <row r="522" spans="3:3" x14ac:dyDescent="0.2">
      <c r="C522" s="3"/>
    </row>
    <row r="523" spans="3:3" x14ac:dyDescent="0.2">
      <c r="C523" s="3"/>
    </row>
    <row r="524" spans="3:3" x14ac:dyDescent="0.2">
      <c r="C524" s="3"/>
    </row>
    <row r="525" spans="3:3" x14ac:dyDescent="0.2">
      <c r="C525" s="3"/>
    </row>
    <row r="526" spans="3:3" x14ac:dyDescent="0.2">
      <c r="C526" s="3"/>
    </row>
    <row r="527" spans="3:3" x14ac:dyDescent="0.2">
      <c r="C527" s="3"/>
    </row>
    <row r="528" spans="3:3" x14ac:dyDescent="0.2">
      <c r="C528" s="3"/>
    </row>
    <row r="529" spans="3:3" x14ac:dyDescent="0.2">
      <c r="C529" s="3"/>
    </row>
    <row r="530" spans="3:3" x14ac:dyDescent="0.2">
      <c r="C530" s="3"/>
    </row>
    <row r="531" spans="3:3" x14ac:dyDescent="0.2">
      <c r="C531" s="3"/>
    </row>
    <row r="532" spans="3:3" x14ac:dyDescent="0.2">
      <c r="C532" s="3"/>
    </row>
    <row r="533" spans="3:3" x14ac:dyDescent="0.2">
      <c r="C533" s="3"/>
    </row>
    <row r="534" spans="3:3" x14ac:dyDescent="0.2">
      <c r="C534" s="3"/>
    </row>
    <row r="535" spans="3:3" x14ac:dyDescent="0.2">
      <c r="C535" s="3"/>
    </row>
    <row r="536" spans="3:3" x14ac:dyDescent="0.2">
      <c r="C536" s="3"/>
    </row>
    <row r="537" spans="3:3" x14ac:dyDescent="0.2">
      <c r="C537" s="3"/>
    </row>
    <row r="538" spans="3:3" x14ac:dyDescent="0.2">
      <c r="C538" s="3"/>
    </row>
    <row r="539" spans="3:3" x14ac:dyDescent="0.2">
      <c r="C539" s="3"/>
    </row>
    <row r="540" spans="3:3" x14ac:dyDescent="0.2">
      <c r="C540" s="3"/>
    </row>
    <row r="541" spans="3:3" x14ac:dyDescent="0.2">
      <c r="C541" s="3"/>
    </row>
    <row r="542" spans="3:3" x14ac:dyDescent="0.2">
      <c r="C542" s="3"/>
    </row>
    <row r="543" spans="3:3" x14ac:dyDescent="0.2">
      <c r="C543" s="3"/>
    </row>
    <row r="544" spans="3:3" x14ac:dyDescent="0.2">
      <c r="C544" s="3"/>
    </row>
    <row r="545" spans="3:3" x14ac:dyDescent="0.2">
      <c r="C545" s="3"/>
    </row>
    <row r="546" spans="3:3" x14ac:dyDescent="0.2">
      <c r="C546" s="3"/>
    </row>
    <row r="547" spans="3:3" x14ac:dyDescent="0.2">
      <c r="C547" s="3"/>
    </row>
    <row r="548" spans="3:3" x14ac:dyDescent="0.2">
      <c r="C548" s="3"/>
    </row>
    <row r="549" spans="3:3" x14ac:dyDescent="0.2">
      <c r="C549" s="3"/>
    </row>
    <row r="550" spans="3:3" x14ac:dyDescent="0.2">
      <c r="C550" s="3"/>
    </row>
    <row r="551" spans="3:3" x14ac:dyDescent="0.2">
      <c r="C551" s="3"/>
    </row>
    <row r="552" spans="3:3" x14ac:dyDescent="0.2">
      <c r="C552" s="3"/>
    </row>
    <row r="553" spans="3:3" x14ac:dyDescent="0.2">
      <c r="C553" s="3"/>
    </row>
    <row r="554" spans="3:3" x14ac:dyDescent="0.2">
      <c r="C554" s="3"/>
    </row>
    <row r="555" spans="3:3" x14ac:dyDescent="0.2">
      <c r="C555" s="3"/>
    </row>
    <row r="556" spans="3:3" x14ac:dyDescent="0.2">
      <c r="C556" s="3"/>
    </row>
    <row r="557" spans="3:3" x14ac:dyDescent="0.2">
      <c r="C557" s="3"/>
    </row>
    <row r="558" spans="3:3" x14ac:dyDescent="0.2">
      <c r="C558" s="3"/>
    </row>
    <row r="559" spans="3:3" x14ac:dyDescent="0.2">
      <c r="C559" s="3"/>
    </row>
    <row r="560" spans="3:3" x14ac:dyDescent="0.2">
      <c r="C560" s="3"/>
    </row>
    <row r="561" spans="3:3" x14ac:dyDescent="0.2">
      <c r="C561" s="3"/>
    </row>
    <row r="562" spans="3:3" x14ac:dyDescent="0.2">
      <c r="C562" s="3"/>
    </row>
    <row r="563" spans="3:3" x14ac:dyDescent="0.2">
      <c r="C563" s="3"/>
    </row>
    <row r="564" spans="3:3" x14ac:dyDescent="0.2">
      <c r="C564" s="3"/>
    </row>
    <row r="565" spans="3:3" x14ac:dyDescent="0.2">
      <c r="C565" s="3"/>
    </row>
    <row r="566" spans="3:3" x14ac:dyDescent="0.2">
      <c r="C566" s="3"/>
    </row>
    <row r="567" spans="3:3" x14ac:dyDescent="0.2">
      <c r="C567" s="3"/>
    </row>
    <row r="568" spans="3:3" x14ac:dyDescent="0.2">
      <c r="C568" s="3"/>
    </row>
    <row r="569" spans="3:3" x14ac:dyDescent="0.2">
      <c r="C569" s="3"/>
    </row>
    <row r="570" spans="3:3" x14ac:dyDescent="0.2">
      <c r="C570" s="3"/>
    </row>
    <row r="571" spans="3:3" x14ac:dyDescent="0.2">
      <c r="C571" s="3"/>
    </row>
    <row r="572" spans="3:3" x14ac:dyDescent="0.2">
      <c r="C572" s="3"/>
    </row>
    <row r="573" spans="3:3" x14ac:dyDescent="0.2">
      <c r="C573" s="3"/>
    </row>
    <row r="574" spans="3:3" x14ac:dyDescent="0.2">
      <c r="C574" s="3"/>
    </row>
    <row r="575" spans="3:3" x14ac:dyDescent="0.2">
      <c r="C575" s="3"/>
    </row>
    <row r="576" spans="3:3" x14ac:dyDescent="0.2">
      <c r="C576" s="3"/>
    </row>
    <row r="577" spans="3:3" x14ac:dyDescent="0.2">
      <c r="C577" s="3"/>
    </row>
    <row r="578" spans="3:3" x14ac:dyDescent="0.2">
      <c r="C578" s="3"/>
    </row>
    <row r="579" spans="3:3" x14ac:dyDescent="0.2">
      <c r="C579" s="3"/>
    </row>
    <row r="580" spans="3:3" x14ac:dyDescent="0.2">
      <c r="C580" s="3"/>
    </row>
    <row r="581" spans="3:3" x14ac:dyDescent="0.2">
      <c r="C581" s="3"/>
    </row>
    <row r="582" spans="3:3" x14ac:dyDescent="0.2">
      <c r="C582" s="3"/>
    </row>
    <row r="583" spans="3:3" x14ac:dyDescent="0.2">
      <c r="C583" s="3"/>
    </row>
    <row r="584" spans="3:3" x14ac:dyDescent="0.2">
      <c r="C584" s="3"/>
    </row>
    <row r="585" spans="3:3" x14ac:dyDescent="0.2">
      <c r="C585" s="3"/>
    </row>
    <row r="586" spans="3:3" x14ac:dyDescent="0.2">
      <c r="C586" s="3"/>
    </row>
    <row r="587" spans="3:3" x14ac:dyDescent="0.2">
      <c r="C587" s="3"/>
    </row>
    <row r="588" spans="3:3" x14ac:dyDescent="0.2">
      <c r="C588" s="3"/>
    </row>
    <row r="589" spans="3:3" x14ac:dyDescent="0.2">
      <c r="C589" s="3"/>
    </row>
    <row r="590" spans="3:3" x14ac:dyDescent="0.2">
      <c r="C590" s="3"/>
    </row>
    <row r="591" spans="3:3" x14ac:dyDescent="0.2">
      <c r="C591" s="3"/>
    </row>
    <row r="592" spans="3:3" x14ac:dyDescent="0.2">
      <c r="C592" s="3"/>
    </row>
    <row r="593" spans="3:3" x14ac:dyDescent="0.2">
      <c r="C593" s="3"/>
    </row>
    <row r="594" spans="3:3" x14ac:dyDescent="0.2">
      <c r="C594" s="3"/>
    </row>
    <row r="595" spans="3:3" x14ac:dyDescent="0.2">
      <c r="C595" s="3"/>
    </row>
    <row r="596" spans="3:3" x14ac:dyDescent="0.2">
      <c r="C596" s="3"/>
    </row>
    <row r="597" spans="3:3" x14ac:dyDescent="0.2">
      <c r="C597" s="3"/>
    </row>
    <row r="598" spans="3:3" x14ac:dyDescent="0.2">
      <c r="C598" s="3"/>
    </row>
    <row r="599" spans="3:3" x14ac:dyDescent="0.2">
      <c r="C599" s="3"/>
    </row>
    <row r="600" spans="3:3" x14ac:dyDescent="0.2">
      <c r="C600" s="3"/>
    </row>
    <row r="601" spans="3:3" x14ac:dyDescent="0.2">
      <c r="C601" s="3"/>
    </row>
    <row r="602" spans="3:3" x14ac:dyDescent="0.2">
      <c r="C602" s="3"/>
    </row>
    <row r="603" spans="3:3" x14ac:dyDescent="0.2">
      <c r="C603" s="3"/>
    </row>
    <row r="604" spans="3:3" x14ac:dyDescent="0.2">
      <c r="C604" s="3"/>
    </row>
    <row r="605" spans="3:3" x14ac:dyDescent="0.2">
      <c r="C605" s="3"/>
    </row>
    <row r="606" spans="3:3" x14ac:dyDescent="0.2">
      <c r="C606" s="3"/>
    </row>
    <row r="607" spans="3:3" x14ac:dyDescent="0.2">
      <c r="C607" s="3"/>
    </row>
    <row r="608" spans="3:3" x14ac:dyDescent="0.2">
      <c r="C608" s="3"/>
    </row>
    <row r="609" spans="3:3" x14ac:dyDescent="0.2">
      <c r="C609" s="3"/>
    </row>
    <row r="610" spans="3:3" x14ac:dyDescent="0.2">
      <c r="C610" s="3"/>
    </row>
    <row r="611" spans="3:3" x14ac:dyDescent="0.2">
      <c r="C611" s="3"/>
    </row>
    <row r="612" spans="3:3" x14ac:dyDescent="0.2">
      <c r="C612" s="3"/>
    </row>
    <row r="613" spans="3:3" x14ac:dyDescent="0.2">
      <c r="C613" s="3"/>
    </row>
    <row r="614" spans="3:3" x14ac:dyDescent="0.2">
      <c r="C614" s="3"/>
    </row>
    <row r="615" spans="3:3" x14ac:dyDescent="0.2">
      <c r="C615" s="3"/>
    </row>
    <row r="616" spans="3:3" x14ac:dyDescent="0.2">
      <c r="C616" s="3"/>
    </row>
    <row r="617" spans="3:3" x14ac:dyDescent="0.2">
      <c r="C617" s="3"/>
    </row>
    <row r="618" spans="3:3" x14ac:dyDescent="0.2">
      <c r="C618" s="3"/>
    </row>
    <row r="619" spans="3:3" x14ac:dyDescent="0.2">
      <c r="C619" s="3"/>
    </row>
    <row r="620" spans="3:3" x14ac:dyDescent="0.2">
      <c r="C620" s="3"/>
    </row>
    <row r="621" spans="3:3" x14ac:dyDescent="0.2">
      <c r="C621" s="3"/>
    </row>
    <row r="622" spans="3:3" x14ac:dyDescent="0.2">
      <c r="C622" s="3"/>
    </row>
    <row r="623" spans="3:3" x14ac:dyDescent="0.2">
      <c r="C623" s="3"/>
    </row>
    <row r="624" spans="3:3" x14ac:dyDescent="0.2">
      <c r="C624" s="3"/>
    </row>
    <row r="625" spans="3:3" x14ac:dyDescent="0.2">
      <c r="C625" s="3"/>
    </row>
    <row r="626" spans="3:3" x14ac:dyDescent="0.2">
      <c r="C626" s="3"/>
    </row>
    <row r="627" spans="3:3" x14ac:dyDescent="0.2">
      <c r="C627" s="3"/>
    </row>
    <row r="628" spans="3:3" x14ac:dyDescent="0.2">
      <c r="C628" s="3"/>
    </row>
    <row r="629" spans="3:3" x14ac:dyDescent="0.2">
      <c r="C629" s="3"/>
    </row>
    <row r="630" spans="3:3" x14ac:dyDescent="0.2">
      <c r="C630" s="3"/>
    </row>
    <row r="631" spans="3:3" x14ac:dyDescent="0.2">
      <c r="C631" s="3"/>
    </row>
    <row r="632" spans="3:3" x14ac:dyDescent="0.2">
      <c r="C632" s="3"/>
    </row>
    <row r="633" spans="3:3" x14ac:dyDescent="0.2">
      <c r="C633" s="3"/>
    </row>
    <row r="634" spans="3:3" x14ac:dyDescent="0.2">
      <c r="C634" s="3"/>
    </row>
    <row r="635" spans="3:3" x14ac:dyDescent="0.2">
      <c r="C635" s="3"/>
    </row>
    <row r="636" spans="3:3" x14ac:dyDescent="0.2">
      <c r="C636" s="3"/>
    </row>
    <row r="637" spans="3:3" x14ac:dyDescent="0.2">
      <c r="C637" s="3"/>
    </row>
    <row r="638" spans="3:3" x14ac:dyDescent="0.2">
      <c r="C638" s="3"/>
    </row>
    <row r="639" spans="3:3" x14ac:dyDescent="0.2">
      <c r="C639" s="3"/>
    </row>
    <row r="640" spans="3:3" x14ac:dyDescent="0.2">
      <c r="C640" s="3"/>
    </row>
    <row r="641" spans="3:3" x14ac:dyDescent="0.2">
      <c r="C641" s="3"/>
    </row>
    <row r="642" spans="3:3" x14ac:dyDescent="0.2">
      <c r="C642" s="3"/>
    </row>
    <row r="643" spans="3:3" x14ac:dyDescent="0.2">
      <c r="C643" s="3"/>
    </row>
    <row r="644" spans="3:3" x14ac:dyDescent="0.2">
      <c r="C644" s="3"/>
    </row>
    <row r="645" spans="3:3" x14ac:dyDescent="0.2">
      <c r="C645" s="3"/>
    </row>
    <row r="646" spans="3:3" x14ac:dyDescent="0.2">
      <c r="C646" s="3"/>
    </row>
    <row r="647" spans="3:3" x14ac:dyDescent="0.2">
      <c r="C647" s="3"/>
    </row>
    <row r="648" spans="3:3" x14ac:dyDescent="0.2">
      <c r="C648" s="3"/>
    </row>
    <row r="649" spans="3:3" x14ac:dyDescent="0.2">
      <c r="C649" s="3"/>
    </row>
    <row r="650" spans="3:3" x14ac:dyDescent="0.2">
      <c r="C650" s="3"/>
    </row>
    <row r="651" spans="3:3" x14ac:dyDescent="0.2">
      <c r="C651" s="3"/>
    </row>
    <row r="652" spans="3:3" x14ac:dyDescent="0.2">
      <c r="C652" s="3"/>
    </row>
    <row r="653" spans="3:3" x14ac:dyDescent="0.2">
      <c r="C653" s="3"/>
    </row>
    <row r="654" spans="3:3" x14ac:dyDescent="0.2">
      <c r="C654" s="3"/>
    </row>
    <row r="655" spans="3:3" x14ac:dyDescent="0.2">
      <c r="C655" s="3"/>
    </row>
    <row r="656" spans="3:3" x14ac:dyDescent="0.2">
      <c r="C656" s="3"/>
    </row>
    <row r="657" spans="3:3" x14ac:dyDescent="0.2">
      <c r="C657" s="3"/>
    </row>
    <row r="658" spans="3:3" x14ac:dyDescent="0.2">
      <c r="C658" s="3"/>
    </row>
    <row r="659" spans="3:3" x14ac:dyDescent="0.2">
      <c r="C659" s="3"/>
    </row>
    <row r="660" spans="3:3" x14ac:dyDescent="0.2">
      <c r="C660" s="3"/>
    </row>
    <row r="661" spans="3:3" x14ac:dyDescent="0.2">
      <c r="C661" s="3"/>
    </row>
    <row r="662" spans="3:3" x14ac:dyDescent="0.2">
      <c r="C662" s="3"/>
    </row>
    <row r="663" spans="3:3" x14ac:dyDescent="0.2">
      <c r="C663" s="3"/>
    </row>
    <row r="664" spans="3:3" x14ac:dyDescent="0.2">
      <c r="C664" s="3"/>
    </row>
    <row r="665" spans="3:3" x14ac:dyDescent="0.2">
      <c r="C665" s="3"/>
    </row>
    <row r="666" spans="3:3" x14ac:dyDescent="0.2">
      <c r="C666" s="3"/>
    </row>
    <row r="667" spans="3:3" x14ac:dyDescent="0.2">
      <c r="C667" s="3"/>
    </row>
    <row r="668" spans="3:3" x14ac:dyDescent="0.2">
      <c r="C668" s="3"/>
    </row>
    <row r="669" spans="3:3" x14ac:dyDescent="0.2">
      <c r="C669" s="3"/>
    </row>
    <row r="670" spans="3:3" x14ac:dyDescent="0.2">
      <c r="C670" s="3"/>
    </row>
    <row r="671" spans="3:3" x14ac:dyDescent="0.2">
      <c r="C671" s="3"/>
    </row>
    <row r="672" spans="3:3" x14ac:dyDescent="0.2">
      <c r="C672" s="3"/>
    </row>
    <row r="673" spans="3:3" x14ac:dyDescent="0.2">
      <c r="C673" s="3"/>
    </row>
    <row r="674" spans="3:3" x14ac:dyDescent="0.2">
      <c r="C674" s="3"/>
    </row>
    <row r="675" spans="3:3" x14ac:dyDescent="0.2">
      <c r="C675" s="3"/>
    </row>
    <row r="676" spans="3:3" x14ac:dyDescent="0.2">
      <c r="C676" s="3"/>
    </row>
    <row r="677" spans="3:3" x14ac:dyDescent="0.2">
      <c r="C677" s="3"/>
    </row>
    <row r="678" spans="3:3" x14ac:dyDescent="0.2">
      <c r="C678" s="3"/>
    </row>
    <row r="679" spans="3:3" x14ac:dyDescent="0.2">
      <c r="C679" s="3"/>
    </row>
    <row r="680" spans="3:3" x14ac:dyDescent="0.2">
      <c r="C680" s="3"/>
    </row>
    <row r="681" spans="3:3" x14ac:dyDescent="0.2">
      <c r="C681" s="3"/>
    </row>
    <row r="682" spans="3:3" x14ac:dyDescent="0.2">
      <c r="C682" s="3"/>
    </row>
    <row r="683" spans="3:3" x14ac:dyDescent="0.2">
      <c r="C683" s="3"/>
    </row>
    <row r="684" spans="3:3" x14ac:dyDescent="0.2">
      <c r="C684" s="3"/>
    </row>
    <row r="685" spans="3:3" x14ac:dyDescent="0.2">
      <c r="C685" s="3"/>
    </row>
    <row r="686" spans="3:3" x14ac:dyDescent="0.2">
      <c r="C686" s="3"/>
    </row>
    <row r="687" spans="3:3" x14ac:dyDescent="0.2">
      <c r="C687" s="3"/>
    </row>
    <row r="688" spans="3:3" x14ac:dyDescent="0.2">
      <c r="C688" s="3"/>
    </row>
    <row r="689" spans="3:3" x14ac:dyDescent="0.2">
      <c r="C689" s="3"/>
    </row>
    <row r="690" spans="3:3" x14ac:dyDescent="0.2">
      <c r="C690" s="3"/>
    </row>
    <row r="691" spans="3:3" x14ac:dyDescent="0.2">
      <c r="C691" s="3"/>
    </row>
    <row r="692" spans="3:3" x14ac:dyDescent="0.2">
      <c r="C692" s="3"/>
    </row>
    <row r="693" spans="3:3" x14ac:dyDescent="0.2">
      <c r="C693" s="3"/>
    </row>
    <row r="694" spans="3:3" x14ac:dyDescent="0.2">
      <c r="C694" s="3"/>
    </row>
    <row r="695" spans="3:3" x14ac:dyDescent="0.2">
      <c r="C695" s="3"/>
    </row>
    <row r="696" spans="3:3" x14ac:dyDescent="0.2">
      <c r="C696" s="3"/>
    </row>
    <row r="697" spans="3:3" x14ac:dyDescent="0.2">
      <c r="C697" s="3"/>
    </row>
    <row r="698" spans="3:3" x14ac:dyDescent="0.2">
      <c r="C698" s="3"/>
    </row>
    <row r="699" spans="3:3" x14ac:dyDescent="0.2">
      <c r="C699" s="3"/>
    </row>
    <row r="700" spans="3:3" x14ac:dyDescent="0.2">
      <c r="C700" s="3"/>
    </row>
    <row r="701" spans="3:3" x14ac:dyDescent="0.2">
      <c r="C701" s="3"/>
    </row>
    <row r="702" spans="3:3" x14ac:dyDescent="0.2">
      <c r="C702" s="3"/>
    </row>
    <row r="703" spans="3:3" x14ac:dyDescent="0.2">
      <c r="C703" s="3"/>
    </row>
    <row r="704" spans="3:3" x14ac:dyDescent="0.2">
      <c r="C704" s="3"/>
    </row>
    <row r="705" spans="3:3" x14ac:dyDescent="0.2">
      <c r="C705" s="3"/>
    </row>
    <row r="706" spans="3:3" x14ac:dyDescent="0.2">
      <c r="C706" s="3"/>
    </row>
    <row r="707" spans="3:3" x14ac:dyDescent="0.2">
      <c r="C707" s="3"/>
    </row>
    <row r="708" spans="3:3" x14ac:dyDescent="0.2">
      <c r="C708" s="3"/>
    </row>
    <row r="709" spans="3:3" x14ac:dyDescent="0.2">
      <c r="C709" s="3"/>
    </row>
    <row r="710" spans="3:3" x14ac:dyDescent="0.2">
      <c r="C710" s="3"/>
    </row>
    <row r="711" spans="3:3" x14ac:dyDescent="0.2">
      <c r="C711" s="3"/>
    </row>
    <row r="712" spans="3:3" x14ac:dyDescent="0.2">
      <c r="C712" s="3"/>
    </row>
    <row r="713" spans="3:3" x14ac:dyDescent="0.2">
      <c r="C713" s="3"/>
    </row>
    <row r="714" spans="3:3" x14ac:dyDescent="0.2">
      <c r="C714" s="3"/>
    </row>
    <row r="715" spans="3:3" x14ac:dyDescent="0.2">
      <c r="C715" s="3"/>
    </row>
    <row r="716" spans="3:3" x14ac:dyDescent="0.2">
      <c r="C716" s="3"/>
    </row>
    <row r="717" spans="3:3" x14ac:dyDescent="0.2">
      <c r="C717" s="3"/>
    </row>
    <row r="718" spans="3:3" x14ac:dyDescent="0.2">
      <c r="C718" s="3"/>
    </row>
    <row r="719" spans="3:3" x14ac:dyDescent="0.2">
      <c r="C719" s="3"/>
    </row>
    <row r="720" spans="3:3" x14ac:dyDescent="0.2">
      <c r="C720" s="3"/>
    </row>
    <row r="721" spans="3:3" x14ac:dyDescent="0.2">
      <c r="C721" s="3"/>
    </row>
    <row r="722" spans="3:3" x14ac:dyDescent="0.2">
      <c r="C722" s="3"/>
    </row>
    <row r="723" spans="3:3" x14ac:dyDescent="0.2">
      <c r="C723" s="3"/>
    </row>
    <row r="724" spans="3:3" x14ac:dyDescent="0.2">
      <c r="C724" s="3"/>
    </row>
    <row r="725" spans="3:3" x14ac:dyDescent="0.2">
      <c r="C725" s="3"/>
    </row>
    <row r="726" spans="3:3" x14ac:dyDescent="0.2">
      <c r="C726" s="3"/>
    </row>
    <row r="727" spans="3:3" x14ac:dyDescent="0.2">
      <c r="C727" s="3"/>
    </row>
    <row r="728" spans="3:3" x14ac:dyDescent="0.2">
      <c r="C728" s="3"/>
    </row>
    <row r="729" spans="3:3" x14ac:dyDescent="0.2">
      <c r="C729" s="3"/>
    </row>
    <row r="730" spans="3:3" x14ac:dyDescent="0.2">
      <c r="C730" s="3"/>
    </row>
    <row r="731" spans="3:3" x14ac:dyDescent="0.2">
      <c r="C731" s="3"/>
    </row>
    <row r="732" spans="3:3" x14ac:dyDescent="0.2">
      <c r="C732" s="3"/>
    </row>
    <row r="733" spans="3:3" x14ac:dyDescent="0.2">
      <c r="C733" s="3"/>
    </row>
    <row r="734" spans="3:3" x14ac:dyDescent="0.2">
      <c r="C734" s="3"/>
    </row>
    <row r="735" spans="3:3" x14ac:dyDescent="0.2">
      <c r="C735" s="3"/>
    </row>
    <row r="736" spans="3:3" x14ac:dyDescent="0.2">
      <c r="C736" s="3"/>
    </row>
    <row r="737" spans="3:3" x14ac:dyDescent="0.2">
      <c r="C737" s="3"/>
    </row>
    <row r="738" spans="3:3" x14ac:dyDescent="0.2">
      <c r="C738" s="3"/>
    </row>
    <row r="739" spans="3:3" x14ac:dyDescent="0.2">
      <c r="C739" s="3"/>
    </row>
    <row r="740" spans="3:3" x14ac:dyDescent="0.2">
      <c r="C740" s="3"/>
    </row>
    <row r="741" spans="3:3" x14ac:dyDescent="0.2">
      <c r="C741" s="3"/>
    </row>
    <row r="742" spans="3:3" x14ac:dyDescent="0.2">
      <c r="C742" s="3"/>
    </row>
    <row r="743" spans="3:3" x14ac:dyDescent="0.2">
      <c r="C743" s="3"/>
    </row>
    <row r="744" spans="3:3" x14ac:dyDescent="0.2">
      <c r="C744" s="3"/>
    </row>
    <row r="745" spans="3:3" x14ac:dyDescent="0.2">
      <c r="C745" s="3"/>
    </row>
    <row r="746" spans="3:3" x14ac:dyDescent="0.2">
      <c r="C746" s="3"/>
    </row>
    <row r="747" spans="3:3" x14ac:dyDescent="0.2">
      <c r="C747" s="3"/>
    </row>
    <row r="748" spans="3:3" x14ac:dyDescent="0.2">
      <c r="C748" s="3"/>
    </row>
    <row r="749" spans="3:3" x14ac:dyDescent="0.2">
      <c r="C749" s="3"/>
    </row>
    <row r="750" spans="3:3" x14ac:dyDescent="0.2">
      <c r="C750" s="3"/>
    </row>
    <row r="751" spans="3:3" x14ac:dyDescent="0.2">
      <c r="C751" s="3"/>
    </row>
    <row r="752" spans="3:3" x14ac:dyDescent="0.2">
      <c r="C752" s="3"/>
    </row>
    <row r="753" spans="3:3" x14ac:dyDescent="0.2">
      <c r="C753" s="3"/>
    </row>
    <row r="754" spans="3:3" x14ac:dyDescent="0.2">
      <c r="C754" s="3"/>
    </row>
    <row r="755" spans="3:3" x14ac:dyDescent="0.2">
      <c r="C755" s="3"/>
    </row>
    <row r="756" spans="3:3" x14ac:dyDescent="0.2">
      <c r="C756" s="3"/>
    </row>
    <row r="757" spans="3:3" x14ac:dyDescent="0.2">
      <c r="C757" s="3"/>
    </row>
    <row r="758" spans="3:3" x14ac:dyDescent="0.2">
      <c r="C758" s="3"/>
    </row>
    <row r="759" spans="3:3" x14ac:dyDescent="0.2">
      <c r="C759" s="3"/>
    </row>
    <row r="760" spans="3:3" x14ac:dyDescent="0.2">
      <c r="C760" s="3"/>
    </row>
    <row r="761" spans="3:3" x14ac:dyDescent="0.2">
      <c r="C761" s="3"/>
    </row>
    <row r="762" spans="3:3" x14ac:dyDescent="0.2">
      <c r="C762" s="3"/>
    </row>
    <row r="763" spans="3:3" x14ac:dyDescent="0.2">
      <c r="C763" s="3"/>
    </row>
    <row r="764" spans="3:3" x14ac:dyDescent="0.2">
      <c r="C764" s="3"/>
    </row>
    <row r="765" spans="3:3" x14ac:dyDescent="0.2">
      <c r="C765" s="3"/>
    </row>
    <row r="766" spans="3:3" x14ac:dyDescent="0.2">
      <c r="C766" s="3"/>
    </row>
    <row r="767" spans="3:3" x14ac:dyDescent="0.2">
      <c r="C767" s="3"/>
    </row>
    <row r="768" spans="3:3" x14ac:dyDescent="0.2">
      <c r="C768" s="3"/>
    </row>
    <row r="769" spans="3:3" x14ac:dyDescent="0.2">
      <c r="C769" s="3"/>
    </row>
    <row r="770" spans="3:3" x14ac:dyDescent="0.2">
      <c r="C770" s="3"/>
    </row>
    <row r="771" spans="3:3" x14ac:dyDescent="0.2">
      <c r="C771" s="3"/>
    </row>
    <row r="772" spans="3:3" x14ac:dyDescent="0.2">
      <c r="C772" s="3"/>
    </row>
    <row r="773" spans="3:3" x14ac:dyDescent="0.2">
      <c r="C773" s="3"/>
    </row>
    <row r="774" spans="3:3" x14ac:dyDescent="0.2">
      <c r="C774" s="3"/>
    </row>
    <row r="775" spans="3:3" x14ac:dyDescent="0.2">
      <c r="C775" s="3"/>
    </row>
    <row r="776" spans="3:3" x14ac:dyDescent="0.2">
      <c r="C776" s="3"/>
    </row>
    <row r="777" spans="3:3" x14ac:dyDescent="0.2">
      <c r="C777" s="3"/>
    </row>
    <row r="778" spans="3:3" x14ac:dyDescent="0.2">
      <c r="C778" s="3"/>
    </row>
    <row r="779" spans="3:3" x14ac:dyDescent="0.2">
      <c r="C779" s="3"/>
    </row>
    <row r="780" spans="3:3" x14ac:dyDescent="0.2">
      <c r="C780" s="3"/>
    </row>
    <row r="781" spans="3:3" x14ac:dyDescent="0.2">
      <c r="C781" s="3"/>
    </row>
    <row r="782" spans="3:3" x14ac:dyDescent="0.2">
      <c r="C782" s="3"/>
    </row>
    <row r="783" spans="3:3" x14ac:dyDescent="0.2">
      <c r="C783" s="3"/>
    </row>
    <row r="784" spans="3:3" x14ac:dyDescent="0.2">
      <c r="C784" s="3"/>
    </row>
    <row r="785" spans="3:3" x14ac:dyDescent="0.2">
      <c r="C785" s="3"/>
    </row>
    <row r="786" spans="3:3" x14ac:dyDescent="0.2">
      <c r="C786" s="3"/>
    </row>
    <row r="787" spans="3:3" x14ac:dyDescent="0.2">
      <c r="C787" s="3"/>
    </row>
    <row r="788" spans="3:3" x14ac:dyDescent="0.2">
      <c r="C788" s="3"/>
    </row>
    <row r="789" spans="3:3" x14ac:dyDescent="0.2">
      <c r="C789" s="3"/>
    </row>
    <row r="790" spans="3:3" x14ac:dyDescent="0.2">
      <c r="C790" s="3"/>
    </row>
    <row r="791" spans="3:3" x14ac:dyDescent="0.2">
      <c r="C791" s="3"/>
    </row>
    <row r="792" spans="3:3" x14ac:dyDescent="0.2">
      <c r="C792" s="3"/>
    </row>
    <row r="793" spans="3:3" x14ac:dyDescent="0.2">
      <c r="C793" s="3"/>
    </row>
    <row r="794" spans="3:3" x14ac:dyDescent="0.2">
      <c r="C794" s="3"/>
    </row>
    <row r="795" spans="3:3" x14ac:dyDescent="0.2">
      <c r="C795" s="3"/>
    </row>
    <row r="796" spans="3:3" x14ac:dyDescent="0.2">
      <c r="C796" s="3"/>
    </row>
    <row r="797" spans="3:3" x14ac:dyDescent="0.2">
      <c r="C797" s="3"/>
    </row>
    <row r="798" spans="3:3" x14ac:dyDescent="0.2">
      <c r="C798" s="3"/>
    </row>
    <row r="799" spans="3:3" x14ac:dyDescent="0.2">
      <c r="C799" s="3"/>
    </row>
    <row r="800" spans="3:3" x14ac:dyDescent="0.2">
      <c r="C800" s="3"/>
    </row>
    <row r="801" spans="3:3" x14ac:dyDescent="0.2">
      <c r="C801" s="3"/>
    </row>
    <row r="802" spans="3:3" x14ac:dyDescent="0.2">
      <c r="C802" s="3"/>
    </row>
    <row r="803" spans="3:3" x14ac:dyDescent="0.2">
      <c r="C803" s="3"/>
    </row>
    <row r="804" spans="3:3" x14ac:dyDescent="0.2">
      <c r="C804" s="3"/>
    </row>
    <row r="805" spans="3:3" x14ac:dyDescent="0.2">
      <c r="C805" s="3"/>
    </row>
    <row r="806" spans="3:3" x14ac:dyDescent="0.2">
      <c r="C806" s="3"/>
    </row>
    <row r="807" spans="3:3" x14ac:dyDescent="0.2">
      <c r="C807" s="3"/>
    </row>
    <row r="808" spans="3:3" x14ac:dyDescent="0.2">
      <c r="C808" s="3"/>
    </row>
    <row r="809" spans="3:3" x14ac:dyDescent="0.2">
      <c r="C809" s="3"/>
    </row>
    <row r="810" spans="3:3" x14ac:dyDescent="0.2">
      <c r="C810" s="3"/>
    </row>
    <row r="811" spans="3:3" x14ac:dyDescent="0.2">
      <c r="C811" s="3"/>
    </row>
    <row r="812" spans="3:3" x14ac:dyDescent="0.2">
      <c r="C812" s="3"/>
    </row>
    <row r="813" spans="3:3" x14ac:dyDescent="0.2">
      <c r="C813" s="3"/>
    </row>
    <row r="814" spans="3:3" x14ac:dyDescent="0.2">
      <c r="C814" s="3"/>
    </row>
    <row r="815" spans="3:3" x14ac:dyDescent="0.2">
      <c r="C815" s="3"/>
    </row>
    <row r="816" spans="3:3" x14ac:dyDescent="0.2">
      <c r="C816" s="3"/>
    </row>
    <row r="817" spans="3:3" x14ac:dyDescent="0.2">
      <c r="C817" s="3"/>
    </row>
    <row r="818" spans="3:3" x14ac:dyDescent="0.2">
      <c r="C818" s="3"/>
    </row>
    <row r="819" spans="3:3" x14ac:dyDescent="0.2">
      <c r="C819" s="3"/>
    </row>
    <row r="820" spans="3:3" x14ac:dyDescent="0.2">
      <c r="C820" s="3"/>
    </row>
    <row r="821" spans="3:3" x14ac:dyDescent="0.2">
      <c r="C821" s="3"/>
    </row>
    <row r="822" spans="3:3" x14ac:dyDescent="0.2">
      <c r="C822" s="3"/>
    </row>
    <row r="823" spans="3:3" x14ac:dyDescent="0.2">
      <c r="C823" s="3"/>
    </row>
    <row r="824" spans="3:3" x14ac:dyDescent="0.2">
      <c r="C824" s="3"/>
    </row>
    <row r="825" spans="3:3" x14ac:dyDescent="0.2">
      <c r="C825" s="3"/>
    </row>
    <row r="826" spans="3:3" x14ac:dyDescent="0.2">
      <c r="C826" s="3"/>
    </row>
    <row r="827" spans="3:3" x14ac:dyDescent="0.2">
      <c r="C827" s="3"/>
    </row>
    <row r="828" spans="3:3" x14ac:dyDescent="0.2">
      <c r="C828" s="3"/>
    </row>
    <row r="829" spans="3:3" x14ac:dyDescent="0.2">
      <c r="C829" s="3"/>
    </row>
    <row r="830" spans="3:3" x14ac:dyDescent="0.2">
      <c r="C830" s="3"/>
    </row>
    <row r="831" spans="3:3" x14ac:dyDescent="0.2">
      <c r="C831" s="3"/>
    </row>
    <row r="832" spans="3:3" x14ac:dyDescent="0.2">
      <c r="C832" s="3"/>
    </row>
    <row r="833" spans="3:3" x14ac:dyDescent="0.2">
      <c r="C833" s="3"/>
    </row>
    <row r="834" spans="3:3" x14ac:dyDescent="0.2">
      <c r="C834" s="3"/>
    </row>
    <row r="835" spans="3:3" x14ac:dyDescent="0.2">
      <c r="C835" s="3"/>
    </row>
    <row r="836" spans="3:3" x14ac:dyDescent="0.2">
      <c r="C836" s="3"/>
    </row>
    <row r="837" spans="3:3" x14ac:dyDescent="0.2">
      <c r="C837" s="3"/>
    </row>
    <row r="838" spans="3:3" x14ac:dyDescent="0.2">
      <c r="C838" s="3"/>
    </row>
    <row r="839" spans="3:3" x14ac:dyDescent="0.2">
      <c r="C839" s="3"/>
    </row>
    <row r="840" spans="3:3" x14ac:dyDescent="0.2">
      <c r="C840" s="3"/>
    </row>
    <row r="841" spans="3:3" x14ac:dyDescent="0.2">
      <c r="C841" s="3"/>
    </row>
    <row r="842" spans="3:3" x14ac:dyDescent="0.2">
      <c r="C842" s="3"/>
    </row>
    <row r="843" spans="3:3" x14ac:dyDescent="0.2">
      <c r="C843" s="3"/>
    </row>
    <row r="844" spans="3:3" x14ac:dyDescent="0.2">
      <c r="C844" s="3"/>
    </row>
    <row r="845" spans="3:3" x14ac:dyDescent="0.2">
      <c r="C845" s="3"/>
    </row>
    <row r="846" spans="3:3" x14ac:dyDescent="0.2">
      <c r="C846" s="3"/>
    </row>
    <row r="847" spans="3:3" x14ac:dyDescent="0.2">
      <c r="C847" s="3"/>
    </row>
    <row r="848" spans="3:3" x14ac:dyDescent="0.2">
      <c r="C848" s="3"/>
    </row>
    <row r="849" spans="3:3" x14ac:dyDescent="0.2">
      <c r="C849" s="3"/>
    </row>
    <row r="850" spans="3:3" x14ac:dyDescent="0.2">
      <c r="C850" s="3"/>
    </row>
    <row r="851" spans="3:3" x14ac:dyDescent="0.2">
      <c r="C851" s="3"/>
    </row>
    <row r="852" spans="3:3" x14ac:dyDescent="0.2">
      <c r="C852" s="3"/>
    </row>
    <row r="853" spans="3:3" x14ac:dyDescent="0.2">
      <c r="C853" s="3"/>
    </row>
    <row r="854" spans="3:3" x14ac:dyDescent="0.2">
      <c r="C854" s="3"/>
    </row>
    <row r="855" spans="3:3" x14ac:dyDescent="0.2">
      <c r="C855" s="3"/>
    </row>
    <row r="856" spans="3:3" x14ac:dyDescent="0.2">
      <c r="C856" s="3"/>
    </row>
    <row r="857" spans="3:3" x14ac:dyDescent="0.2">
      <c r="C857" s="3"/>
    </row>
    <row r="858" spans="3:3" x14ac:dyDescent="0.2">
      <c r="C858" s="3"/>
    </row>
    <row r="859" spans="3:3" x14ac:dyDescent="0.2">
      <c r="C859" s="3"/>
    </row>
    <row r="860" spans="3:3" x14ac:dyDescent="0.2">
      <c r="C860" s="3"/>
    </row>
    <row r="861" spans="3:3" x14ac:dyDescent="0.2">
      <c r="C861" s="3"/>
    </row>
    <row r="862" spans="3:3" x14ac:dyDescent="0.2">
      <c r="C862" s="3"/>
    </row>
    <row r="863" spans="3:3" x14ac:dyDescent="0.2">
      <c r="C863" s="3"/>
    </row>
    <row r="864" spans="3:3" x14ac:dyDescent="0.2">
      <c r="C864" s="3"/>
    </row>
    <row r="865" spans="3:3" x14ac:dyDescent="0.2">
      <c r="C865" s="3"/>
    </row>
    <row r="866" spans="3:3" x14ac:dyDescent="0.2">
      <c r="C866" s="3"/>
    </row>
    <row r="867" spans="3:3" x14ac:dyDescent="0.2">
      <c r="C867" s="3"/>
    </row>
    <row r="868" spans="3:3" x14ac:dyDescent="0.2">
      <c r="C868" s="3"/>
    </row>
    <row r="869" spans="3:3" x14ac:dyDescent="0.2">
      <c r="C869" s="3"/>
    </row>
    <row r="870" spans="3:3" x14ac:dyDescent="0.2">
      <c r="C870" s="3"/>
    </row>
    <row r="871" spans="3:3" x14ac:dyDescent="0.2">
      <c r="C871" s="3"/>
    </row>
    <row r="872" spans="3:3" x14ac:dyDescent="0.2">
      <c r="C872" s="3"/>
    </row>
    <row r="873" spans="3:3" x14ac:dyDescent="0.2">
      <c r="C873" s="3"/>
    </row>
    <row r="874" spans="3:3" x14ac:dyDescent="0.2">
      <c r="C874" s="3"/>
    </row>
    <row r="875" spans="3:3" x14ac:dyDescent="0.2">
      <c r="C875" s="3"/>
    </row>
    <row r="876" spans="3:3" x14ac:dyDescent="0.2">
      <c r="C876" s="3"/>
    </row>
    <row r="877" spans="3:3" x14ac:dyDescent="0.2">
      <c r="C877" s="3"/>
    </row>
    <row r="878" spans="3:3" x14ac:dyDescent="0.2">
      <c r="C878" s="3"/>
    </row>
    <row r="879" spans="3:3" x14ac:dyDescent="0.2">
      <c r="C879" s="3"/>
    </row>
    <row r="880" spans="3:3" x14ac:dyDescent="0.2">
      <c r="C880" s="3"/>
    </row>
    <row r="881" spans="3:3" x14ac:dyDescent="0.2">
      <c r="C881" s="3"/>
    </row>
    <row r="882" spans="3:3" x14ac:dyDescent="0.2">
      <c r="C882" s="3"/>
    </row>
    <row r="883" spans="3:3" x14ac:dyDescent="0.2">
      <c r="C883" s="3"/>
    </row>
    <row r="884" spans="3:3" x14ac:dyDescent="0.2">
      <c r="C884" s="3"/>
    </row>
    <row r="885" spans="3:3" x14ac:dyDescent="0.2">
      <c r="C885" s="3"/>
    </row>
    <row r="886" spans="3:3" x14ac:dyDescent="0.2">
      <c r="C886" s="3"/>
    </row>
    <row r="887" spans="3:3" x14ac:dyDescent="0.2">
      <c r="C887" s="3"/>
    </row>
    <row r="888" spans="3:3" x14ac:dyDescent="0.2">
      <c r="C888" s="3"/>
    </row>
    <row r="889" spans="3:3" x14ac:dyDescent="0.2">
      <c r="C889" s="3"/>
    </row>
    <row r="890" spans="3:3" x14ac:dyDescent="0.2">
      <c r="C890" s="3"/>
    </row>
    <row r="891" spans="3:3" x14ac:dyDescent="0.2">
      <c r="C891" s="3"/>
    </row>
    <row r="892" spans="3:3" x14ac:dyDescent="0.2">
      <c r="C892" s="3"/>
    </row>
    <row r="893" spans="3:3" x14ac:dyDescent="0.2">
      <c r="C893" s="3"/>
    </row>
    <row r="894" spans="3:3" x14ac:dyDescent="0.2">
      <c r="C894" s="3"/>
    </row>
    <row r="895" spans="3:3" x14ac:dyDescent="0.2">
      <c r="C895" s="3"/>
    </row>
    <row r="896" spans="3:3" x14ac:dyDescent="0.2">
      <c r="C896" s="3"/>
    </row>
    <row r="897" spans="3:3" x14ac:dyDescent="0.2">
      <c r="C897" s="3"/>
    </row>
    <row r="898" spans="3:3" x14ac:dyDescent="0.2">
      <c r="C898" s="3"/>
    </row>
    <row r="899" spans="3:3" x14ac:dyDescent="0.2">
      <c r="C899" s="3"/>
    </row>
    <row r="900" spans="3:3" x14ac:dyDescent="0.2">
      <c r="C900" s="3"/>
    </row>
    <row r="901" spans="3:3" x14ac:dyDescent="0.2">
      <c r="C901" s="3"/>
    </row>
    <row r="902" spans="3:3" x14ac:dyDescent="0.2">
      <c r="C902" s="3"/>
    </row>
    <row r="903" spans="3:3" x14ac:dyDescent="0.2">
      <c r="C903" s="3"/>
    </row>
    <row r="904" spans="3:3" x14ac:dyDescent="0.2">
      <c r="C904" s="3"/>
    </row>
    <row r="905" spans="3:3" x14ac:dyDescent="0.2">
      <c r="C905" s="3"/>
    </row>
    <row r="906" spans="3:3" x14ac:dyDescent="0.2">
      <c r="C906" s="3"/>
    </row>
    <row r="907" spans="3:3" x14ac:dyDescent="0.2">
      <c r="C907" s="3"/>
    </row>
    <row r="908" spans="3:3" x14ac:dyDescent="0.2">
      <c r="C908" s="3"/>
    </row>
    <row r="909" spans="3:3" x14ac:dyDescent="0.2">
      <c r="C909" s="3"/>
    </row>
    <row r="910" spans="3:3" x14ac:dyDescent="0.2">
      <c r="C910" s="3"/>
    </row>
    <row r="911" spans="3:3" x14ac:dyDescent="0.2">
      <c r="C911" s="3"/>
    </row>
    <row r="912" spans="3:3" x14ac:dyDescent="0.2">
      <c r="C912" s="3"/>
    </row>
    <row r="913" spans="3:3" x14ac:dyDescent="0.2">
      <c r="C913" s="3"/>
    </row>
    <row r="914" spans="3:3" x14ac:dyDescent="0.2">
      <c r="C914" s="3"/>
    </row>
    <row r="915" spans="3:3" x14ac:dyDescent="0.2">
      <c r="C915" s="3"/>
    </row>
    <row r="916" spans="3:3" x14ac:dyDescent="0.2">
      <c r="C916" s="3"/>
    </row>
    <row r="917" spans="3:3" x14ac:dyDescent="0.2">
      <c r="C917" s="3"/>
    </row>
    <row r="918" spans="3:3" x14ac:dyDescent="0.2">
      <c r="C918" s="3"/>
    </row>
    <row r="919" spans="3:3" x14ac:dyDescent="0.2">
      <c r="C919" s="3"/>
    </row>
    <row r="920" spans="3:3" x14ac:dyDescent="0.2">
      <c r="C920" s="3"/>
    </row>
    <row r="921" spans="3:3" x14ac:dyDescent="0.2">
      <c r="C921" s="3"/>
    </row>
    <row r="922" spans="3:3" x14ac:dyDescent="0.2">
      <c r="C922" s="3"/>
    </row>
    <row r="923" spans="3:3" x14ac:dyDescent="0.2">
      <c r="C923" s="3"/>
    </row>
    <row r="924" spans="3:3" x14ac:dyDescent="0.2">
      <c r="C924" s="3"/>
    </row>
    <row r="925" spans="3:3" x14ac:dyDescent="0.2">
      <c r="C925" s="3"/>
    </row>
    <row r="926" spans="3:3" x14ac:dyDescent="0.2">
      <c r="C926" s="3"/>
    </row>
    <row r="927" spans="3:3" x14ac:dyDescent="0.2">
      <c r="C927" s="3"/>
    </row>
    <row r="928" spans="3:3" x14ac:dyDescent="0.2">
      <c r="C928" s="3"/>
    </row>
    <row r="929" spans="3:3" x14ac:dyDescent="0.2">
      <c r="C929" s="3"/>
    </row>
    <row r="930" spans="3:3" x14ac:dyDescent="0.2">
      <c r="C930" s="3"/>
    </row>
    <row r="931" spans="3:3" x14ac:dyDescent="0.2">
      <c r="C931" s="3"/>
    </row>
    <row r="932" spans="3:3" x14ac:dyDescent="0.2">
      <c r="C932" s="3"/>
    </row>
    <row r="933" spans="3:3" x14ac:dyDescent="0.2">
      <c r="C933" s="3"/>
    </row>
    <row r="934" spans="3:3" x14ac:dyDescent="0.2">
      <c r="C934" s="3"/>
    </row>
    <row r="935" spans="3:3" x14ac:dyDescent="0.2">
      <c r="C935" s="3"/>
    </row>
    <row r="936" spans="3:3" x14ac:dyDescent="0.2">
      <c r="C936" s="3"/>
    </row>
    <row r="937" spans="3:3" x14ac:dyDescent="0.2">
      <c r="C937" s="3"/>
    </row>
    <row r="938" spans="3:3" x14ac:dyDescent="0.2">
      <c r="C938" s="3"/>
    </row>
    <row r="939" spans="3:3" x14ac:dyDescent="0.2">
      <c r="C939" s="3"/>
    </row>
    <row r="940" spans="3:3" x14ac:dyDescent="0.2">
      <c r="C940" s="3"/>
    </row>
    <row r="941" spans="3:3" x14ac:dyDescent="0.2">
      <c r="C941" s="3"/>
    </row>
    <row r="942" spans="3:3" x14ac:dyDescent="0.2">
      <c r="C942" s="3"/>
    </row>
    <row r="943" spans="3:3" x14ac:dyDescent="0.2">
      <c r="C943" s="3"/>
    </row>
    <row r="944" spans="3:3" x14ac:dyDescent="0.2">
      <c r="C944" s="3"/>
    </row>
    <row r="945" spans="3:3" x14ac:dyDescent="0.2">
      <c r="C945" s="3"/>
    </row>
    <row r="946" spans="3:3" x14ac:dyDescent="0.2">
      <c r="C946" s="3"/>
    </row>
    <row r="947" spans="3:3" x14ac:dyDescent="0.2">
      <c r="C947" s="3"/>
    </row>
    <row r="948" spans="3:3" x14ac:dyDescent="0.2">
      <c r="C948" s="3"/>
    </row>
    <row r="949" spans="3:3" x14ac:dyDescent="0.2">
      <c r="C949" s="3"/>
    </row>
    <row r="950" spans="3:3" x14ac:dyDescent="0.2">
      <c r="C950" s="3"/>
    </row>
    <row r="951" spans="3:3" x14ac:dyDescent="0.2">
      <c r="C951" s="3"/>
    </row>
    <row r="952" spans="3:3" x14ac:dyDescent="0.2">
      <c r="C952" s="3"/>
    </row>
    <row r="953" spans="3:3" x14ac:dyDescent="0.2">
      <c r="C953" s="3"/>
    </row>
    <row r="954" spans="3:3" x14ac:dyDescent="0.2">
      <c r="C954" s="3"/>
    </row>
    <row r="955" spans="3:3" x14ac:dyDescent="0.2">
      <c r="C955" s="3"/>
    </row>
    <row r="956" spans="3:3" x14ac:dyDescent="0.2">
      <c r="C956" s="3"/>
    </row>
    <row r="957" spans="3:3" x14ac:dyDescent="0.2">
      <c r="C957" s="3"/>
    </row>
    <row r="958" spans="3:3" x14ac:dyDescent="0.2">
      <c r="C958" s="3"/>
    </row>
    <row r="959" spans="3:3" x14ac:dyDescent="0.2">
      <c r="C959" s="3"/>
    </row>
    <row r="960" spans="3:3" x14ac:dyDescent="0.2">
      <c r="C960" s="3"/>
    </row>
    <row r="961" spans="3:3" x14ac:dyDescent="0.2">
      <c r="C961" s="3"/>
    </row>
    <row r="962" spans="3:3" x14ac:dyDescent="0.2">
      <c r="C962" s="3"/>
    </row>
    <row r="963" spans="3:3" x14ac:dyDescent="0.2">
      <c r="C963" s="3"/>
    </row>
    <row r="964" spans="3:3" x14ac:dyDescent="0.2">
      <c r="C964" s="3"/>
    </row>
    <row r="965" spans="3:3" x14ac:dyDescent="0.2">
      <c r="C965" s="3"/>
    </row>
    <row r="966" spans="3:3" x14ac:dyDescent="0.2">
      <c r="C966" s="3"/>
    </row>
    <row r="967" spans="3:3" x14ac:dyDescent="0.2">
      <c r="C967" s="3"/>
    </row>
    <row r="968" spans="3:3" x14ac:dyDescent="0.2">
      <c r="C968" s="3"/>
    </row>
    <row r="969" spans="3:3" x14ac:dyDescent="0.2">
      <c r="C969" s="3"/>
    </row>
    <row r="970" spans="3:3" x14ac:dyDescent="0.2">
      <c r="C970" s="3"/>
    </row>
    <row r="971" spans="3:3" x14ac:dyDescent="0.2">
      <c r="C971" s="3"/>
    </row>
    <row r="972" spans="3:3" x14ac:dyDescent="0.2">
      <c r="C972" s="3"/>
    </row>
    <row r="973" spans="3:3" x14ac:dyDescent="0.2">
      <c r="C973" s="3"/>
    </row>
    <row r="974" spans="3:3" x14ac:dyDescent="0.2">
      <c r="C974" s="3"/>
    </row>
    <row r="975" spans="3:3" x14ac:dyDescent="0.2">
      <c r="C975" s="3"/>
    </row>
    <row r="976" spans="3:3" x14ac:dyDescent="0.2">
      <c r="C976" s="3"/>
    </row>
    <row r="977" spans="3:3" x14ac:dyDescent="0.2">
      <c r="C977" s="3"/>
    </row>
    <row r="978" spans="3:3" x14ac:dyDescent="0.2">
      <c r="C978" s="3"/>
    </row>
    <row r="979" spans="3:3" x14ac:dyDescent="0.2">
      <c r="C979" s="3"/>
    </row>
    <row r="980" spans="3:3" x14ac:dyDescent="0.2">
      <c r="C980" s="3"/>
    </row>
    <row r="981" spans="3:3" x14ac:dyDescent="0.2">
      <c r="C981" s="3"/>
    </row>
    <row r="982" spans="3:3" x14ac:dyDescent="0.2">
      <c r="C982" s="3"/>
    </row>
    <row r="983" spans="3:3" x14ac:dyDescent="0.2">
      <c r="C983" s="3"/>
    </row>
    <row r="984" spans="3:3" x14ac:dyDescent="0.2">
      <c r="C984" s="3"/>
    </row>
    <row r="985" spans="3:3" x14ac:dyDescent="0.2">
      <c r="C985" s="3"/>
    </row>
    <row r="986" spans="3:3" x14ac:dyDescent="0.2">
      <c r="C986" s="3"/>
    </row>
    <row r="987" spans="3:3" x14ac:dyDescent="0.2">
      <c r="C987" s="3"/>
    </row>
    <row r="988" spans="3:3" x14ac:dyDescent="0.2">
      <c r="C988" s="3"/>
    </row>
    <row r="989" spans="3:3" x14ac:dyDescent="0.2">
      <c r="C989" s="3"/>
    </row>
    <row r="990" spans="3:3" x14ac:dyDescent="0.2">
      <c r="C990" s="3"/>
    </row>
    <row r="991" spans="3:3" x14ac:dyDescent="0.2">
      <c r="C991" s="3"/>
    </row>
    <row r="992" spans="3:3" x14ac:dyDescent="0.2">
      <c r="C992" s="3"/>
    </row>
    <row r="993" spans="3:3" x14ac:dyDescent="0.2">
      <c r="C993" s="3"/>
    </row>
    <row r="994" spans="3:3" x14ac:dyDescent="0.2">
      <c r="C994" s="3"/>
    </row>
    <row r="995" spans="3:3" x14ac:dyDescent="0.2">
      <c r="C995" s="3"/>
    </row>
    <row r="996" spans="3:3" x14ac:dyDescent="0.2">
      <c r="C996" s="3"/>
    </row>
    <row r="997" spans="3:3" x14ac:dyDescent="0.2">
      <c r="C997" s="3"/>
    </row>
    <row r="998" spans="3:3" x14ac:dyDescent="0.2">
      <c r="C998" s="3"/>
    </row>
    <row r="999" spans="3:3" x14ac:dyDescent="0.2">
      <c r="C999" s="3"/>
    </row>
    <row r="1000" spans="3:3" x14ac:dyDescent="0.2">
      <c r="C1000" s="3"/>
    </row>
  </sheetData>
  <dataValidations count="5">
    <dataValidation type="list" allowBlank="1" showInputMessage="1" showErrorMessage="1" sqref="C4" xr:uid="{744897E9-9AEE-4B04-A200-6C408D4E142A}">
      <formula1>"Enclosed Buildings, Partially Enclosed Buildings, Partially Open Buildings, Open Buildings"</formula1>
    </dataValidation>
    <dataValidation type="list" allowBlank="1" showInputMessage="1" showErrorMessage="1" sqref="C15" xr:uid="{5B6F2F8C-8A1D-4767-B60A-D05B72962F1C}">
      <formula1>"L,B"</formula1>
    </dataValidation>
    <dataValidation type="list" allowBlank="1" showInputMessage="1" showErrorMessage="1" sqref="C5" xr:uid="{262127A6-6593-416E-A15B-777B6435602E}">
      <formula1>"B,C,D"</formula1>
    </dataValidation>
    <dataValidation type="list" allowBlank="1" showInputMessage="1" showErrorMessage="1" sqref="C2" xr:uid="{07CE9C56-FCDA-43C2-9EDF-B409251AC9BD}">
      <formula1>"Risk Category I, Risk Category II, Risk Category III, Risk Category IV"</formula1>
    </dataValidation>
    <dataValidation type="list" allowBlank="1" showInputMessage="1" showErrorMessage="1" sqref="C20" xr:uid="{416CB2B2-4E66-44C0-B393-2979C1ED6166}">
      <formula1>"GABLE ROOF, MONOSLOPE ROOF, MANSARD ROOF"</formula1>
    </dataValidation>
  </dataValidations>
  <pageMargins left="0.25" right="0.25" top="0.75" bottom="0.75" header="0.3" footer="0.3"/>
  <pageSetup paperSize="9" scale="56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ataLoad">
                <anchor moveWithCells="1" sizeWithCells="1">
                  <from>
                    <xdr:col>0</xdr:col>
                    <xdr:colOff>609600</xdr:colOff>
                    <xdr:row>19</xdr:row>
                    <xdr:rowOff>123825</xdr:rowOff>
                  </from>
                  <to>
                    <xdr:col>1</xdr:col>
                    <xdr:colOff>2219325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portCalcs">
                <anchor moveWithCells="1" sizeWithCells="1">
                  <from>
                    <xdr:col>1</xdr:col>
                    <xdr:colOff>2400300</xdr:colOff>
                    <xdr:row>19</xdr:row>
                    <xdr:rowOff>114300</xdr:rowOff>
                  </from>
                  <to>
                    <xdr:col>2</xdr:col>
                    <xdr:colOff>2200275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DIRECTIONAL - MWFRS (ASCE 7)</vt:lpstr>
      <vt:lpstr>'DIRECTIONAL - MWFRS (ASCE 7)'!Print_Area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2026-07-21T07:57:34Z</cp:lastPrinted>
  <dcterms:created xsi:type="dcterms:W3CDTF">2026-07-04T11:58:28Z</dcterms:created>
  <dcterms:modified xsi:type="dcterms:W3CDTF">2026-07-29T00:27:18Z</dcterms:modified>
</cp:coreProperties>
</file>