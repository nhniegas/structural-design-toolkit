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AppData\Local\Temp\claude\c--Users-Nhel-Harold-Niegas-Desktop-xlwings-spreadsheet-structural\0282d645-a706-4f97-af3a-f097a56a98d8\scratchpad\wb_work\"/>
    </mc:Choice>
  </mc:AlternateContent>
  <xr:revisionPtr revIDLastSave="0" documentId="13_ncr:1_{366BCBFF-A67C-48CF-BCE3-592456A777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CRETE-FILLED" sheetId="1" r:id="rId1"/>
    <sheet name="CONCRETE-ENCAS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<sst xmlns="http://schemas.openxmlformats.org/spreadsheetml/2006/main" count="44" uniqueCount="38">
  <si>
    <t>DEMAND FORCES</t>
  </si>
  <si>
    <t>SECTION PROPERTIES</t>
  </si>
  <si>
    <t>Axial, Pu (kN)</t>
  </si>
  <si>
    <t>Width, b (mm)</t>
  </si>
  <si>
    <t>Height, h (mm)</t>
  </si>
  <si>
    <t>Thickness, t (mm)</t>
  </si>
  <si>
    <t>Compressive Strength, f'c (Mpa)</t>
  </si>
  <si>
    <t>SOLUTION</t>
  </si>
  <si>
    <t>Yield Strength, fy (Mpa)</t>
  </si>
  <si>
    <t>Shear - b, Vb (kN)</t>
  </si>
  <si>
    <t>Shear - h, Vh (kN)</t>
  </si>
  <si>
    <t>Unbraced Length - b, Lb (m)</t>
  </si>
  <si>
    <t>Unbraced Length - h, Lh (m)</t>
  </si>
  <si>
    <t>Moment - b, Mb (kN - m)</t>
  </si>
  <si>
    <t>Moment - h, Mh (kN - m)</t>
  </si>
  <si>
    <t>Axial Compactness</t>
  </si>
  <si>
    <t>Compact</t>
  </si>
  <si>
    <t>Flexural Compactness (b-axis)</t>
  </si>
  <si>
    <t>Flexural Compactness (h-axis)</t>
  </si>
  <si>
    <t>Interaction Ratio (Standard)</t>
  </si>
  <si>
    <t>Interaction Ratio (Alpha=1.5)</t>
  </si>
  <si>
    <t>OK</t>
  </si>
  <si>
    <t>φPn (kN)</t>
  </si>
  <si>
    <t>φMnx (kN-m)</t>
  </si>
  <si>
    <t>φMny (kN-m)</t>
  </si>
  <si>
    <t>φVbx (kN)</t>
  </si>
  <si>
    <t>φVhy (kN)</t>
  </si>
  <si>
    <t>Seismic Compactness (Ry=1.3)</t>
  </si>
  <si>
    <t>STATUS (Standard)</t>
  </si>
  <si>
    <t>STATUS (Alpha=1.5)</t>
  </si>
  <si>
    <t>Shear Ratio (b-axis)</t>
  </si>
  <si>
    <t>STATUS (Shear-b)</t>
  </si>
  <si>
    <t>Shear Ratio (h-axis)</t>
  </si>
  <si>
    <t>STATUS (Shear-h)</t>
  </si>
  <si>
    <t>17.28% OK</t>
  </si>
  <si>
    <t>Highly Ductile</t>
  </si>
  <si>
    <t>NOT OK - OVERSTRESSED</t>
  </si>
  <si>
    <t>Success: Saved to C:/Users/Nhel Harold Niegas/Downloads/200X100X6MM COMPOSITE CONCRETE FILLED COLUMN.pdf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</si>
</sst>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omputer Modern"/>
    </font>
    <font>
      <sz val="11"/>
      <color theme="1"/>
      <name val="Computer Modern"/>
    </font>
    <font>
      <b/>
      <sz val="15"/>
      <color rgb="FF000000"/>
      <name val="Aptos Narrow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1" fillId="0" borderId="3" xfId="0" applyFont="1" applyBorder="1"/>
    <xf numFmtId="0" fontId="0" fillId="0" borderId="4" xfId="0" applyBorder="1"/>
    <xf numFmtId="0" fontId="1" fillId="0" borderId="0" xfId="0" applyFont="1"/>
    <xf numFmtId="0" fontId="6" fillId="3" borderId="0" xfId="0" applyFont="1" applyFill="1"/>
    <xf numFmtId="0" fontId="5" fillId="0" borderId="0" xfId="0" applyFont="1"/>
    <xf numFmtId="0" fontId="6" fillId="0" borderId="0" xfId="0" applyFont="1"/>
    <xf numFmtId="0" fontId="4" fillId="0" borderId="0" xfId="0" applyFont="1"/>
    <xf numFmtId="0" fontId="7" fillId="4" borderId="0" xfId="0" applyFont="1" applyFill="1"/>
    <xf numFmtId="0" fontId="8" fillId="2" borderId="5" xfId="0" applyFont="1" applyFill="1" applyBorder="1"/>
    <xf numFmtId="0" fontId="8" fillId="2" borderId="6" xfId="0" applyFont="1" applyFill="1" applyBorder="1"/>
    <xf numFmtId="1" fontId="8" fillId="2" borderId="6" xfId="0" applyNumberFormat="1" applyFont="1" applyFill="1" applyBorder="1"/>
    <xf numFmtId="0" fontId="8" fillId="2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1</xdr:row>
          <xdr:rowOff>15240</xdr:rowOff>
        </xdr:from>
        <xdr:to>
          <xdr:col>7</xdr:col>
          <xdr:colOff>68580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4</xdr:row>
          <xdr:rowOff>53340</xdr:rowOff>
        </xdr:from>
        <xdr:to>
          <xdr:col>7</xdr:col>
          <xdr:colOff>83820</xdr:colOff>
          <xdr:row>6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42"/>
  <sheetViews>
    <sheetView tabSelected="1" zoomScale="85" zoomScaleNormal="85" workbookViewId="0">
      <selection activeCell="N25" sqref="N25"/>
    </sheetView>
  </sheetViews>
  <sheetFormatPr defaultRowHeight="14.4"/>
  <cols>
    <col min="2" max="2" width="30.77734375" bestFit="1" customWidth="1"/>
    <col min="3" max="3" width="23.6640625" bestFit="1" customWidth="1"/>
  </cols>
  <sheetData>
    <row r="2" spans="2:3">
      <c r="B2" s="3" t="s">
        <v>0</v>
      </c>
      <c r="C2" s="4"/>
    </row>
    <row r="3" spans="2:3" ht="15.6">
      <c r="B3" s="1" t="s">
        <v>2</v>
      </c>
      <c r="C3" s="11">
        <v>101</v>
      </c>
    </row>
    <row r="4" spans="2:3" ht="15.6">
      <c r="B4" s="1" t="s">
        <v>13</v>
      </c>
      <c r="C4" s="12">
        <v>31</v>
      </c>
    </row>
    <row r="5" spans="2:3" ht="15.6">
      <c r="B5" s="1" t="s">
        <v>14</v>
      </c>
      <c r="C5" s="12">
        <v>13</v>
      </c>
    </row>
    <row r="6" spans="2:3" ht="15.6">
      <c r="B6" s="1" t="s">
        <v>9</v>
      </c>
      <c r="C6" s="12">
        <v>10</v>
      </c>
    </row>
    <row r="7" spans="2:3" ht="15.6">
      <c r="B7" s="1" t="s">
        <v>10</v>
      </c>
      <c r="C7" s="12">
        <v>10</v>
      </c>
    </row>
    <row r="8" spans="2:3">
      <c r="B8" s="3" t="s">
        <v>1</v>
      </c>
      <c r="C8" s="4"/>
    </row>
    <row r="9" spans="2:3" ht="15.6">
      <c r="B9" s="1" t="s">
        <v>3</v>
      </c>
      <c r="C9" s="11">
        <v>200</v>
      </c>
    </row>
    <row r="10" spans="2:3" ht="15.6">
      <c r="B10" s="1" t="s">
        <v>4</v>
      </c>
      <c r="C10" s="12">
        <v>100</v>
      </c>
    </row>
    <row r="11" spans="2:3" ht="15.6">
      <c r="B11" s="1" t="s">
        <v>5</v>
      </c>
      <c r="C11" s="12">
        <v>6</v>
      </c>
    </row>
    <row r="12" spans="2:3" ht="15.6">
      <c r="B12" s="1" t="s">
        <v>6</v>
      </c>
      <c r="C12" s="12">
        <v>21</v>
      </c>
    </row>
    <row r="13" spans="2:3" ht="15.6">
      <c r="B13" s="1" t="s">
        <v>8</v>
      </c>
      <c r="C13" s="13">
        <f>36000/145</f>
        <v>248.27586206896552</v>
      </c>
    </row>
    <row r="14" spans="2:3" ht="15.6">
      <c r="B14" s="1" t="s">
        <v>11</v>
      </c>
      <c r="C14" s="12">
        <v>5.5</v>
      </c>
    </row>
    <row r="15" spans="2:3" ht="15.6">
      <c r="B15" s="2" t="s">
        <v>12</v>
      </c>
      <c r="C15" s="14">
        <v>5.5</v>
      </c>
    </row>
    <row r="17" spans="2:3">
      <c r="B17" s="5" t="s">
        <v>7</v>
      </c>
    </row>
    <row r="19" spans="2:3">
      <c r="B19" s="7" t="s">
        <v>37</v>
      </c>
      <c r="C19" t="s">
        <v>34</v>
      </c>
    </row>
    <row r="20" spans="2:3">
      <c r="B20" s="7" t="s">
        <v>15</v>
      </c>
      <c r="C20" t="s">
        <v>16</v>
      </c>
    </row>
    <row r="21" spans="2:3">
      <c r="B21" s="7" t="s">
        <v>17</v>
      </c>
      <c r="C21" t="s">
        <v>16</v>
      </c>
    </row>
    <row r="22" spans="2:3">
      <c r="B22" s="7" t="s">
        <v>18</v>
      </c>
      <c r="C22" t="s">
        <v>16</v>
      </c>
    </row>
    <row r="23" spans="2:3">
      <c r="B23" s="7" t="s">
        <v>27</v>
      </c>
      <c r="C23" t="s">
        <v>35</v>
      </c>
    </row>
    <row r="24" spans="2:3">
      <c r="B24" s="7"/>
    </row>
    <row r="25" spans="2:3">
      <c r="B25" s="7" t="s">
        <v>22</v>
      </c>
      <c r="C25">
        <v>300.3</v>
      </c>
    </row>
    <row r="26" spans="2:3">
      <c r="B26" s="7" t="s">
        <v>23</v>
      </c>
      <c r="C26">
        <v>32.268999999999998</v>
      </c>
    </row>
    <row r="27" spans="2:3">
      <c r="B27" s="7" t="s">
        <v>24</v>
      </c>
      <c r="C27">
        <v>54.64</v>
      </c>
    </row>
    <row r="28" spans="2:3">
      <c r="B28" s="7" t="s">
        <v>25</v>
      </c>
      <c r="C28">
        <v>171.6</v>
      </c>
    </row>
    <row r="29" spans="2:3">
      <c r="B29" s="7" t="s">
        <v>26</v>
      </c>
      <c r="C29">
        <v>332.5</v>
      </c>
    </row>
    <row r="30" spans="2:3">
      <c r="B30" s="7" t="s">
        <v>25</v>
      </c>
      <c r="C30">
        <v>171.6</v>
      </c>
    </row>
    <row r="31" spans="2:3">
      <c r="B31" s="7" t="s">
        <v>26</v>
      </c>
      <c r="C31">
        <v>332.5</v>
      </c>
    </row>
    <row r="32" spans="2:3">
      <c r="B32" s="8"/>
      <c r="C32" s="9"/>
    </row>
    <row r="33" spans="2:3">
      <c r="B33" s="8"/>
      <c r="C33" s="9"/>
    </row>
    <row r="34" spans="2:3">
      <c r="B34" s="8" t="s">
        <v>30</v>
      </c>
      <c r="C34" s="9">
        <v>5.8000000000000003E-2</v>
      </c>
    </row>
    <row r="35" spans="2:3">
      <c r="B35" s="6" t="s">
        <v>31</v>
      </c>
      <c r="C35" s="6" t="s">
        <v>21</v>
      </c>
    </row>
    <row r="36" spans="2:3">
      <c r="B36" s="7" t="s">
        <v>32</v>
      </c>
      <c r="C36">
        <v>0.03</v>
      </c>
    </row>
    <row r="37" spans="2:3">
      <c r="B37" s="6" t="s">
        <v>33</v>
      </c>
      <c r="C37" s="6" t="s">
        <v>21</v>
      </c>
    </row>
    <row r="38" spans="2:3">
      <c r="B38" s="7"/>
    </row>
    <row r="39" spans="2:3">
      <c r="B39" s="7" t="s">
        <v>19</v>
      </c>
      <c r="C39">
        <v>1.306</v>
      </c>
    </row>
    <row r="40" spans="2:3">
      <c r="B40" s="10" t="s">
        <v>28</v>
      </c>
      <c r="C40" s="10" t="s">
        <v>36</v>
      </c>
    </row>
    <row r="41" spans="2:3">
      <c r="B41" s="7" t="s">
        <v>20</v>
      </c>
      <c r="C41">
        <v>1.1459999999999999</v>
      </c>
    </row>
    <row r="42" spans="2:3">
      <c r="B42" s="10" t="s">
        <v>29</v>
      </c>
      <c r="C42" s="10" t="s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Capacity">
                <anchor moveWithCells="1" sizeWithCells="1">
                  <from>
                    <xdr:col>3</xdr:col>
                    <xdr:colOff>274320</xdr:colOff>
                    <xdr:row>1</xdr:row>
                    <xdr:rowOff>15240</xdr:rowOff>
                  </from>
                  <to>
                    <xdr:col>7</xdr:col>
                    <xdr:colOff>68580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Calcs">
                <anchor moveWithCells="1" sizeWithCells="1">
                  <from>
                    <xdr:col>3</xdr:col>
                    <xdr:colOff>289560</xdr:colOff>
                    <xdr:row>4</xdr:row>
                    <xdr:rowOff>53340</xdr:rowOff>
                  </from>
                  <to>
                    <xdr:col>7</xdr:col>
                    <xdr:colOff>83820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0974-2141-4437-81AC-75CAB646E9B7}">
  <sheetPr codeName="Sheet2"/>
  <dimension ref="A1"/>
  <sheetViews>
    <sheetView workbookViewId="0">
      <selection activeCell="F18" sqref="E18:F18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CONCRETE-FILLED</vt:lpstr>
      <vt:lpstr>CONCRETE-ENCASED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dcterms:created xsi:type="dcterms:W3CDTF">2015-06-05T18:17:20Z</dcterms:created>
  <dcterms:modified xsi:type="dcterms:W3CDTF">2026-10-01T10:08:08Z</dcterms:modified>
</cp:coreProperties>
</file>