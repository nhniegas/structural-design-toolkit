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hel Harold Niegas\AppData\Local\Temp\claude\c--Users-Nhel-Harold-Niegas-Desktop-xlwings-spreadsheet-structural\0282d645-a706-4f97-af3a-f097a56a98d8\scratchpad\wb_work\"/>
    </mc:Choice>
  </mc:AlternateContent>
  <xr:revisionPtr revIDLastSave="0" documentId="13_ncr:1_{2AFD252A-8589-4563-8EC3-DAFEF120AF76}" xr6:coauthVersionLast="47" xr6:coauthVersionMax="47" xr10:uidLastSave="{00000000-0000-0000-0000-000000000000}"/>
  <bookViews>
    <workbookView xWindow="-108" yWindow="-108" windowWidth="23256" windowHeight="12456" activeTab="1" xr2:uid="{0D1D3C52-67B7-4AB2-9E1F-55AAF1AF3C4C}"/>
  </bookViews>
  <sheets>
    <sheet name="DIRECTIONAL - MWFRS (ASCE 7 (2)" sheetId="2" r:id="rId1"/>
    <sheet name="DIRECTIONAL - MWFRS (ASCE 7)" sheetId="1" r:id="rId2"/>
  </sheets>
  <definedNames>
    <definedName name="_xlnm.Print_Area" localSheetId="0">'DIRECTIONAL - MWFRS (ASCE 7 (2)'!$A$1:$I$89</definedName>
    <definedName name="_xlnm.Print_Area" localSheetId="1">'DIRECTIONAL - MWFRS (ASCE 7)'!$A$1:$I$89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2" l="1"/>
  <c r="C3" i="1"/>
</calcChain>
</file>

<file path=xl/sharedStrings.xml><?xml version="1.0" encoding="utf-8"?>
<sst xmlns="http://schemas.openxmlformats.org/spreadsheetml/2006/main" count="392" uniqueCount="117">
  <si>
    <t>Building Classification</t>
  </si>
  <si>
    <t>Enclosure Classification</t>
  </si>
  <si>
    <t>Exposure Category</t>
  </si>
  <si>
    <t>C</t>
  </si>
  <si>
    <t>Gust Effect Factor</t>
  </si>
  <si>
    <t>GCpi</t>
  </si>
  <si>
    <t xml:space="preserve">Wall Pressure Coefficient </t>
  </si>
  <si>
    <t xml:space="preserve">Height Above Ground Level </t>
  </si>
  <si>
    <t>Exposure</t>
  </si>
  <si>
    <t>Surface</t>
  </si>
  <si>
    <t>L/B</t>
  </si>
  <si>
    <t>Cp</t>
  </si>
  <si>
    <t>Use With</t>
  </si>
  <si>
    <t>m</t>
  </si>
  <si>
    <t>B</t>
  </si>
  <si>
    <t>D</t>
  </si>
  <si>
    <t>Windward wall</t>
  </si>
  <si>
    <t>All values</t>
  </si>
  <si>
    <t>qz</t>
  </si>
  <si>
    <t>Leeward Wall</t>
  </si>
  <si>
    <t>qh</t>
  </si>
  <si>
    <t>Sidewall</t>
  </si>
  <si>
    <t>Roof Pressure Coefficient</t>
  </si>
  <si>
    <t>Wind Direction</t>
  </si>
  <si>
    <t>h/L</t>
  </si>
  <si>
    <t>Windward</t>
  </si>
  <si>
    <t>Leeward</t>
  </si>
  <si>
    <t>Degrees</t>
  </si>
  <si>
    <t>&lt;0.25</t>
  </si>
  <si>
    <t>&gt;1</t>
  </si>
  <si>
    <t>Distance</t>
  </si>
  <si>
    <t>0 to h/2</t>
  </si>
  <si>
    <t>h/2 to h</t>
  </si>
  <si>
    <t>h to 2h</t>
  </si>
  <si>
    <t>&gt;2h</t>
  </si>
  <si>
    <t>&gt;=1.0</t>
  </si>
  <si>
    <t>&gt;h/2</t>
  </si>
  <si>
    <t>Internal Pressure</t>
  </si>
  <si>
    <t>Internal Pressure Coefficient</t>
  </si>
  <si>
    <t>Enclosed Buildings</t>
  </si>
  <si>
    <t>Moderate</t>
  </si>
  <si>
    <t>High</t>
  </si>
  <si>
    <t>Partially Open Buildings</t>
  </si>
  <si>
    <t>Open Buildings</t>
  </si>
  <si>
    <t>Negligible</t>
  </si>
  <si>
    <t>Partially Enclosed Buildings</t>
  </si>
  <si>
    <t>Kz Values</t>
  </si>
  <si>
    <t>EAVE HEIGHT (m)</t>
  </si>
  <si>
    <t>Direction of Ridge</t>
  </si>
  <si>
    <t>Risk Category IV</t>
  </si>
  <si>
    <t>APEX HEIGHT (m)</t>
  </si>
  <si>
    <t>Normal to Ridge
for Angle &lt; 10 degrees</t>
  </si>
  <si>
    <t>Normal to Ridge
for Angle &gt;= 10 degrees</t>
  </si>
  <si>
    <t>* Enter comma separated values (should be less than eave height)</t>
  </si>
  <si>
    <t>OVERWRITES</t>
  </si>
  <si>
    <t>Angle (deg)</t>
  </si>
  <si>
    <t>Mean Roof Height (m)</t>
  </si>
  <si>
    <t>HEIGHTS TO CONSIDER  (m)</t>
  </si>
  <si>
    <t xml:space="preserve">* FUTURE DEVELOPMENT </t>
  </si>
  <si>
    <t>* LIMITATIONS</t>
  </si>
  <si>
    <t>A. This calculator is assumed to have symmetrical gable roof</t>
  </si>
  <si>
    <t>A. Automatic computation of exposure category depending on updwind conditions</t>
  </si>
  <si>
    <t>B. Automatic computaton of gust effect factor depending on building period</t>
  </si>
  <si>
    <t>B.  For cases of monoslope and mansard, please use overwrites for values of theta and h</t>
  </si>
  <si>
    <t>*Still not working</t>
  </si>
  <si>
    <t>C. Addition for Components and Cladding</t>
  </si>
  <si>
    <r>
      <t>Basic Wind Speed</t>
    </r>
    <r>
      <rPr>
        <sz val="11.5"/>
        <color theme="1"/>
        <rFont val="Computer Modern"/>
      </rPr>
      <t xml:space="preserve"> (m/s)</t>
    </r>
  </si>
  <si>
    <r>
      <t xml:space="preserve">Wind Directionality Factor </t>
    </r>
    <r>
      <rPr>
        <sz val="11.5"/>
        <color theme="1"/>
        <rFont val="Computer Modern"/>
      </rPr>
      <t>(Kd)</t>
    </r>
  </si>
  <si>
    <r>
      <t xml:space="preserve">Topographic Factor </t>
    </r>
    <r>
      <rPr>
        <sz val="11.5"/>
        <color theme="1"/>
        <rFont val="Computer Modern"/>
      </rPr>
      <t>(Kzt)</t>
    </r>
  </si>
  <si>
    <r>
      <t xml:space="preserve">Ground Elevation Factor </t>
    </r>
    <r>
      <rPr>
        <sz val="11.5"/>
        <color theme="1"/>
        <rFont val="Computer Modern"/>
      </rPr>
      <t>(Ke)</t>
    </r>
  </si>
  <si>
    <r>
      <t xml:space="preserve">Velocity Pressure </t>
    </r>
    <r>
      <rPr>
        <sz val="11.5"/>
        <color theme="1"/>
        <rFont val="Computer Modern"/>
      </rPr>
      <t>(Kz Pa)</t>
    </r>
  </si>
  <si>
    <r>
      <t xml:space="preserve">L </t>
    </r>
    <r>
      <rPr>
        <sz val="11.5"/>
        <color theme="1"/>
        <rFont val="Computer Modern"/>
      </rPr>
      <t>(m)</t>
    </r>
  </si>
  <si>
    <r>
      <t xml:space="preserve">B </t>
    </r>
    <r>
      <rPr>
        <sz val="11.5"/>
        <color theme="1"/>
        <rFont val="Computer Modern"/>
      </rPr>
      <t>(m)</t>
    </r>
  </si>
  <si>
    <t>Velocity Pressure Profile (qz) Table</t>
  </si>
  <si>
    <t>Height (m)</t>
  </si>
  <si>
    <t>Type</t>
  </si>
  <si>
    <t>qz (Pa)</t>
  </si>
  <si>
    <t>User Input</t>
  </si>
  <si>
    <t>Eave Height</t>
  </si>
  <si>
    <t>Mean Roof Height</t>
  </si>
  <si>
    <t>Apex Height</t>
  </si>
  <si>
    <t>Wall Pressure Coefficient (Cp) Table</t>
  </si>
  <si>
    <t>Wind direction</t>
  </si>
  <si>
    <t>All</t>
  </si>
  <si>
    <t>Leeward wall</t>
  </si>
  <si>
    <t>Normal to ridge</t>
  </si>
  <si>
    <t>Parallel to ridge</t>
  </si>
  <si>
    <t>Side wall</t>
  </si>
  <si>
    <t>Roof Pressure Coefficient (Cp) Table - Normal Wind Direction</t>
  </si>
  <si>
    <t>Roof Pressure Coefficient (Cp) Table - Parallel Wind Direction</t>
  </si>
  <si>
    <t>Horizontal Distance from Windward Edge</t>
  </si>
  <si>
    <t>Roof (Parallel)</t>
  </si>
  <si>
    <t>MWFRS Pressure Summary Table - Normal Wind Direction</t>
  </si>
  <si>
    <t>z (m)</t>
  </si>
  <si>
    <t>q (Pa)</t>
  </si>
  <si>
    <t>G</t>
  </si>
  <si>
    <t>C_p</t>
  </si>
  <si>
    <t>Net (+GCpi)</t>
  </si>
  <si>
    <t>Net (-GCpi)</t>
  </si>
  <si>
    <t>Side walls</t>
  </si>
  <si>
    <t>—</t>
  </si>
  <si>
    <t>MWFRS Pressure Summary Table - Parallel Wind Direction</t>
  </si>
  <si>
    <t>Roof (Roof (0 to h/2))</t>
  </si>
  <si>
    <t>Roof (h/2 to h)</t>
  </si>
  <si>
    <t>Roof (h to 2h)</t>
  </si>
  <si>
    <t>Roof (&gt;2h)</t>
  </si>
  <si>
    <t>Table loaded successfully into Pandas memory. Check the console for details.</t>
  </si>
  <si>
    <t>PDF Exported Successfully!</t>
  </si>
  <si>
    <t>Kz (B)</t>
  </si>
  <si>
    <t>-0.9, -0.18*</t>
  </si>
  <si>
    <t>-0.5, -0.18*</t>
  </si>
  <si>
    <t>-0.3, -0.18*</t>
  </si>
  <si>
    <t>h/L = 0.10</t>
  </si>
  <si>
    <t>Roof (Normal)</t>
  </si>
  <si>
    <t>Roof (0 to h/2)</t>
  </si>
  <si>
    <t>h/L = 0.23</t>
  </si>
  <si>
    <t>Kz 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</si>
</sst>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sz val="9"/>
      <color theme="1"/>
      <name val="Computer Modern"/>
    </font>
    <font>
      <sz val="11"/>
      <color theme="1"/>
      <name val="Computer Modern"/>
    </font>
    <font>
      <b/>
      <sz val="11.5"/>
      <color theme="1"/>
      <name val="Computer Modern"/>
    </font>
    <font>
      <sz val="11.5"/>
      <color theme="1"/>
      <name val="Computer Modern"/>
    </font>
    <font>
      <b/>
      <sz val="8"/>
      <color theme="1"/>
      <name val="Computer Modern"/>
    </font>
    <font>
      <b/>
      <sz val="8"/>
      <color rgb="FF002060"/>
      <name val="Computer Modern"/>
    </font>
    <font>
      <sz val="8"/>
      <color theme="1"/>
      <name val="Computer Modern"/>
    </font>
    <font>
      <b/>
      <sz val="9"/>
      <color theme="1"/>
      <name val="Computer Modern"/>
    </font>
    <font>
      <i/>
      <sz val="9"/>
      <color theme="1"/>
      <name val="Computer Modern"/>
    </font>
    <font>
      <b/>
      <sz val="11"/>
      <color theme="1"/>
      <name val="Aptos Narrow"/>
      <family val="2"/>
      <scheme val="minor"/>
    </font>
    <font>
      <b/>
      <sz val="15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3" fillId="0" borderId="10" xfId="0" applyFont="1" applyBorder="1"/>
    <xf numFmtId="0" fontId="4" fillId="3" borderId="11" xfId="0" applyFont="1" applyFill="1" applyBorder="1" applyAlignment="1">
      <alignment horizontal="right"/>
    </xf>
    <xf numFmtId="0" fontId="3" fillId="0" borderId="11" xfId="0" applyFont="1" applyBorder="1"/>
    <xf numFmtId="0" fontId="4" fillId="0" borderId="1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/>
    <xf numFmtId="2" fontId="4" fillId="2" borderId="5" xfId="0" applyNumberFormat="1" applyFont="1" applyFill="1" applyBorder="1" applyAlignment="1">
      <alignment horizontal="right"/>
    </xf>
    <xf numFmtId="0" fontId="4" fillId="0" borderId="5" xfId="0" applyFont="1" applyBorder="1"/>
    <xf numFmtId="0" fontId="4" fillId="2" borderId="6" xfId="0" applyFont="1" applyFill="1" applyBorder="1"/>
    <xf numFmtId="0" fontId="5" fillId="0" borderId="1" xfId="0" applyFont="1" applyBorder="1"/>
    <xf numFmtId="0" fontId="5" fillId="0" borderId="12" xfId="0" applyFont="1" applyBorder="1"/>
    <xf numFmtId="0" fontId="5" fillId="0" borderId="3" xfId="0" applyFont="1" applyBorder="1"/>
    <xf numFmtId="0" fontId="4" fillId="2" borderId="5" xfId="0" applyFont="1" applyFill="1" applyBorder="1" applyAlignment="1">
      <alignment horizontal="right"/>
    </xf>
    <xf numFmtId="0" fontId="4" fillId="0" borderId="8" xfId="0" applyFont="1" applyBorder="1"/>
    <xf numFmtId="0" fontId="4" fillId="2" borderId="9" xfId="0" applyFont="1" applyFill="1" applyBorder="1"/>
    <xf numFmtId="0" fontId="5" fillId="0" borderId="4" xfId="0" applyFont="1" applyBorder="1"/>
    <xf numFmtId="0" fontId="5" fillId="0" borderId="0" xfId="0" applyFont="1"/>
    <xf numFmtId="0" fontId="5" fillId="0" borderId="6" xfId="0" applyFont="1" applyBorder="1"/>
    <xf numFmtId="0" fontId="6" fillId="0" borderId="4" xfId="0" applyFont="1" applyBorder="1"/>
    <xf numFmtId="0" fontId="6" fillId="4" borderId="4" xfId="0" applyFont="1" applyFill="1" applyBorder="1"/>
    <xf numFmtId="0" fontId="7" fillId="0" borderId="4" xfId="0" applyFont="1" applyBorder="1"/>
    <xf numFmtId="0" fontId="7" fillId="0" borderId="0" xfId="0" applyFont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0" xfId="0" applyFont="1"/>
    <xf numFmtId="0" fontId="7" fillId="0" borderId="0" xfId="0" applyFont="1"/>
    <xf numFmtId="0" fontId="7" fillId="0" borderId="6" xfId="0" applyFont="1" applyBorder="1"/>
    <xf numFmtId="0" fontId="3" fillId="0" borderId="1" xfId="0" applyFont="1" applyBorder="1"/>
    <xf numFmtId="2" fontId="3" fillId="0" borderId="2" xfId="0" applyNumberFormat="1" applyFont="1" applyBorder="1" applyAlignment="1">
      <alignment horizontal="right"/>
    </xf>
    <xf numFmtId="0" fontId="7" fillId="0" borderId="7" xfId="0" applyFont="1" applyBorder="1"/>
    <xf numFmtId="0" fontId="7" fillId="0" borderId="13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4" xfId="0" applyFont="1" applyBorder="1"/>
    <xf numFmtId="0" fontId="7" fillId="0" borderId="12" xfId="0" applyFont="1" applyBorder="1"/>
    <xf numFmtId="0" fontId="7" fillId="0" borderId="3" xfId="0" applyFont="1" applyBorder="1"/>
    <xf numFmtId="0" fontId="4" fillId="2" borderId="2" xfId="0" applyFont="1" applyFill="1" applyBorder="1" applyAlignment="1">
      <alignment horizontal="right"/>
    </xf>
    <xf numFmtId="0" fontId="6" fillId="0" borderId="0" xfId="0" applyFont="1"/>
    <xf numFmtId="0" fontId="5" fillId="0" borderId="4" xfId="0" applyFont="1" applyBorder="1" applyAlignment="1">
      <alignment wrapText="1"/>
    </xf>
    <xf numFmtId="0" fontId="3" fillId="0" borderId="7" xfId="0" applyFont="1" applyBorder="1" applyAlignment="1">
      <alignment horizontal="left" vertical="center"/>
    </xf>
    <xf numFmtId="0" fontId="4" fillId="2" borderId="8" xfId="0" applyFont="1" applyFill="1" applyBorder="1" applyAlignment="1">
      <alignment horizontal="right" vertic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2" borderId="3" xfId="0" applyFont="1" applyFill="1" applyBorder="1" applyAlignment="1">
      <alignment horizontal="right"/>
    </xf>
    <xf numFmtId="0" fontId="3" fillId="0" borderId="7" xfId="0" applyFont="1" applyBorder="1"/>
    <xf numFmtId="0" fontId="4" fillId="2" borderId="9" xfId="0" applyFont="1" applyFill="1" applyBorder="1" applyAlignment="1">
      <alignment horizontal="right"/>
    </xf>
    <xf numFmtId="0" fontId="5" fillId="0" borderId="7" xfId="0" applyFont="1" applyBorder="1" applyAlignment="1">
      <alignment wrapText="1"/>
    </xf>
    <xf numFmtId="0" fontId="7" fillId="0" borderId="13" xfId="0" applyFont="1" applyBorder="1"/>
    <xf numFmtId="0" fontId="7" fillId="0" borderId="9" xfId="0" applyFont="1" applyBorder="1"/>
    <xf numFmtId="0" fontId="6" fillId="0" borderId="12" xfId="0" applyFont="1" applyBorder="1"/>
    <xf numFmtId="0" fontId="6" fillId="0" borderId="1" xfId="0" applyFont="1" applyBorder="1"/>
    <xf numFmtId="0" fontId="2" fillId="0" borderId="0" xfId="0" applyFont="1" applyAlignment="1">
      <alignment horizontal="right"/>
    </xf>
    <xf numFmtId="0" fontId="10" fillId="0" borderId="0" xfId="0" applyFont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312A-C25A-4E8F-8284-A2BA64684FEA}">
  <sheetPr codeName="Sheet2">
    <pageSetUpPr fitToPage="1"/>
  </sheetPr>
  <dimension ref="A1:AC1000"/>
  <sheetViews>
    <sheetView view="pageBreakPreview" zoomScale="83" zoomScaleNormal="100" zoomScaleSheetLayoutView="83" workbookViewId="0">
      <selection activeCell="G19" sqref="G19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64</v>
      </c>
      <c r="H2" s="1"/>
    </row>
    <row r="3" spans="1:29" ht="14.4">
      <c r="A3" s="1"/>
      <c r="B3" s="8" t="s">
        <v>66</v>
      </c>
      <c r="C3" s="9">
        <f>220*1000/3600</f>
        <v>61.111111111111114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39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14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67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68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69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70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0.18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-0.18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71</v>
      </c>
      <c r="C13" s="38">
        <v>100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72</v>
      </c>
      <c r="C14" s="15">
        <v>100</v>
      </c>
      <c r="D14" s="1"/>
      <c r="E14" s="1" t="s">
        <v>65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>
        <v>15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20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25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106</v>
      </c>
      <c r="C23" s="2"/>
      <c r="D23" s="58" t="s">
        <v>107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73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74</v>
      </c>
      <c r="C25" s="57" t="s">
        <v>75</v>
      </c>
      <c r="D25" s="57" t="s">
        <v>108</v>
      </c>
      <c r="E25" s="57" t="s">
        <v>76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15</v>
      </c>
      <c r="C26" s="55" t="s">
        <v>77</v>
      </c>
      <c r="D26" s="55">
        <v>0.80700000000000005</v>
      </c>
      <c r="E26" s="55">
        <v>1570.3389999999999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20</v>
      </c>
      <c r="C27" s="55" t="s">
        <v>78</v>
      </c>
      <c r="D27" s="55">
        <v>0.874</v>
      </c>
      <c r="E27" s="55">
        <v>1700.7139999999999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22.5</v>
      </c>
      <c r="C28" s="55" t="s">
        <v>79</v>
      </c>
      <c r="D28" s="55">
        <v>0.90500000000000003</v>
      </c>
      <c r="E28" s="55">
        <v>1761.0360000000001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6">
        <v>25</v>
      </c>
      <c r="C29" s="56" t="s">
        <v>80</v>
      </c>
      <c r="D29" s="56">
        <v>0.93600000000000005</v>
      </c>
      <c r="E29" s="56">
        <v>1821.3589999999999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/>
      <c r="C30"/>
      <c r="D30"/>
      <c r="E30"/>
      <c r="F30"/>
      <c r="G30"/>
      <c r="H30"/>
      <c r="I30"/>
      <c r="J30"/>
      <c r="K30"/>
    </row>
    <row r="31" spans="1:29" ht="14.4">
      <c r="A31" s="1"/>
      <c r="B31" s="54" t="s">
        <v>81</v>
      </c>
      <c r="C31"/>
      <c r="D31"/>
      <c r="E31"/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7" t="s">
        <v>9</v>
      </c>
      <c r="C32" s="57" t="s">
        <v>82</v>
      </c>
      <c r="D32" s="57" t="s">
        <v>10</v>
      </c>
      <c r="E32" s="57" t="s">
        <v>11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5" t="s">
        <v>16</v>
      </c>
      <c r="C33" s="55" t="s">
        <v>83</v>
      </c>
      <c r="D33" s="55" t="s">
        <v>83</v>
      </c>
      <c r="E33" s="55">
        <v>0.8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 s="55" t="s">
        <v>84</v>
      </c>
      <c r="C34" s="55" t="s">
        <v>85</v>
      </c>
      <c r="D34" s="55">
        <v>1</v>
      </c>
      <c r="E34" s="55">
        <v>-0.5</v>
      </c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5"/>
      <c r="C35" s="55" t="s">
        <v>86</v>
      </c>
      <c r="D35" s="55">
        <v>1</v>
      </c>
      <c r="E35" s="55">
        <v>-0.5</v>
      </c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6" t="s">
        <v>87</v>
      </c>
      <c r="C36" s="56" t="s">
        <v>83</v>
      </c>
      <c r="D36" s="56" t="s">
        <v>83</v>
      </c>
      <c r="E36" s="56">
        <v>-0.7</v>
      </c>
      <c r="F36"/>
      <c r="G36"/>
      <c r="H36"/>
      <c r="I36"/>
      <c r="J36"/>
      <c r="K36"/>
    </row>
    <row r="37" spans="1:15" ht="14.4">
      <c r="A37" s="1"/>
      <c r="B37"/>
      <c r="C37"/>
      <c r="D37"/>
      <c r="E37"/>
      <c r="F37"/>
      <c r="G37"/>
      <c r="H37"/>
      <c r="I37"/>
      <c r="J37"/>
      <c r="K37"/>
    </row>
    <row r="38" spans="1:15" ht="14.4">
      <c r="A38" s="1"/>
      <c r="B38" s="54" t="s">
        <v>88</v>
      </c>
      <c r="C38"/>
      <c r="D38"/>
      <c r="E38"/>
      <c r="F38"/>
      <c r="G38"/>
      <c r="H38"/>
      <c r="I38"/>
      <c r="J38"/>
      <c r="K38"/>
    </row>
    <row r="39" spans="1:15" ht="14.4">
      <c r="A39" s="1"/>
      <c r="B39" s="57" t="s">
        <v>9</v>
      </c>
      <c r="C39" s="57" t="s">
        <v>90</v>
      </c>
      <c r="D39" s="57" t="s">
        <v>115</v>
      </c>
      <c r="E39"/>
      <c r="F39"/>
      <c r="G39"/>
      <c r="H39"/>
      <c r="I39"/>
      <c r="J39"/>
      <c r="K39"/>
    </row>
    <row r="40" spans="1:15" ht="14.4">
      <c r="A40" s="1"/>
      <c r="B40" s="55" t="s">
        <v>113</v>
      </c>
      <c r="C40" s="55" t="s">
        <v>31</v>
      </c>
      <c r="D40" s="55" t="s">
        <v>109</v>
      </c>
      <c r="E40"/>
      <c r="F40"/>
      <c r="G40"/>
      <c r="H40"/>
      <c r="I40"/>
      <c r="J40"/>
      <c r="K40"/>
    </row>
    <row r="41" spans="1:15" ht="14.4">
      <c r="A41" s="1"/>
      <c r="B41" s="55"/>
      <c r="C41" s="55" t="s">
        <v>32</v>
      </c>
      <c r="D41" s="55" t="s">
        <v>109</v>
      </c>
      <c r="E41"/>
      <c r="F41"/>
      <c r="G41"/>
      <c r="H41"/>
      <c r="I41"/>
      <c r="J41"/>
      <c r="K41"/>
    </row>
    <row r="42" spans="1:15" ht="14.4">
      <c r="A42" s="1"/>
      <c r="B42" s="55"/>
      <c r="C42" s="55" t="s">
        <v>33</v>
      </c>
      <c r="D42" s="55" t="s">
        <v>110</v>
      </c>
      <c r="E42"/>
      <c r="F42"/>
      <c r="G42"/>
      <c r="H42"/>
      <c r="I42"/>
      <c r="J42"/>
      <c r="K42"/>
    </row>
    <row r="43" spans="1:15" ht="14.4">
      <c r="A43" s="1"/>
      <c r="B43" s="56"/>
      <c r="C43" s="56" t="s">
        <v>34</v>
      </c>
      <c r="D43" s="56" t="s">
        <v>111</v>
      </c>
      <c r="E43"/>
      <c r="F43"/>
      <c r="G43"/>
      <c r="H43"/>
      <c r="I43"/>
      <c r="J43"/>
      <c r="K43"/>
    </row>
    <row r="44" spans="1:15" ht="14.4">
      <c r="A44" s="1"/>
      <c r="B44"/>
      <c r="C44"/>
      <c r="D44"/>
      <c r="E44"/>
      <c r="F44"/>
      <c r="G44"/>
      <c r="H44"/>
      <c r="I44"/>
      <c r="J44"/>
      <c r="K44"/>
    </row>
    <row r="45" spans="1:15" ht="14.4">
      <c r="A45" s="1"/>
      <c r="B45" s="54" t="s">
        <v>89</v>
      </c>
      <c r="C45"/>
      <c r="D45"/>
      <c r="E45"/>
      <c r="F45"/>
      <c r="G45"/>
      <c r="H45"/>
      <c r="I45"/>
      <c r="J45"/>
      <c r="K45"/>
    </row>
    <row r="46" spans="1:15" ht="14.4">
      <c r="A46" s="1"/>
      <c r="B46" s="57" t="s">
        <v>9</v>
      </c>
      <c r="C46" s="57" t="s">
        <v>90</v>
      </c>
      <c r="D46" s="57" t="s">
        <v>115</v>
      </c>
      <c r="E46"/>
      <c r="F46"/>
      <c r="G46"/>
      <c r="H46"/>
      <c r="I46"/>
      <c r="J46"/>
      <c r="K46"/>
    </row>
    <row r="47" spans="1:15" ht="14.4">
      <c r="A47" s="1"/>
      <c r="B47" s="55" t="s">
        <v>91</v>
      </c>
      <c r="C47" s="55" t="s">
        <v>31</v>
      </c>
      <c r="D47" s="55" t="s">
        <v>109</v>
      </c>
      <c r="E47"/>
      <c r="F47"/>
      <c r="G47"/>
      <c r="H47"/>
      <c r="I47"/>
      <c r="J47"/>
      <c r="K47"/>
    </row>
    <row r="48" spans="1:15" ht="14.4">
      <c r="A48" s="1"/>
      <c r="B48" s="55"/>
      <c r="C48" s="55" t="s">
        <v>32</v>
      </c>
      <c r="D48" s="55" t="s">
        <v>109</v>
      </c>
      <c r="E48"/>
      <c r="F48"/>
      <c r="G48"/>
      <c r="H48"/>
      <c r="I48"/>
      <c r="J48"/>
      <c r="K48"/>
    </row>
    <row r="49" spans="1:11" ht="14.4">
      <c r="A49" s="1"/>
      <c r="B49" s="55"/>
      <c r="C49" s="55" t="s">
        <v>33</v>
      </c>
      <c r="D49" s="55" t="s">
        <v>110</v>
      </c>
      <c r="E49"/>
      <c r="F49"/>
      <c r="G49"/>
      <c r="H49"/>
      <c r="I49"/>
      <c r="J49"/>
      <c r="K49"/>
    </row>
    <row r="50" spans="1:11" ht="14.4">
      <c r="A50" s="1"/>
      <c r="B50" s="56"/>
      <c r="C50" s="56" t="s">
        <v>34</v>
      </c>
      <c r="D50" s="56" t="s">
        <v>111</v>
      </c>
      <c r="E50"/>
      <c r="F50"/>
      <c r="G50"/>
      <c r="H50"/>
      <c r="I50"/>
      <c r="J50"/>
      <c r="K50"/>
    </row>
    <row r="51" spans="1:11" ht="14.4">
      <c r="A51" s="1"/>
      <c r="B51"/>
      <c r="C51"/>
      <c r="D51"/>
      <c r="E51"/>
      <c r="F51"/>
      <c r="G51"/>
      <c r="H51"/>
      <c r="I51"/>
      <c r="J51"/>
      <c r="K51"/>
    </row>
    <row r="52" spans="1:11" ht="14.4">
      <c r="A52" s="1"/>
      <c r="B52" s="54" t="s">
        <v>92</v>
      </c>
      <c r="C52"/>
      <c r="D52"/>
      <c r="E52"/>
      <c r="F52"/>
      <c r="G52"/>
      <c r="H52"/>
      <c r="I52"/>
      <c r="J52"/>
      <c r="K52"/>
    </row>
    <row r="53" spans="1:11" ht="14.4">
      <c r="A53" s="1"/>
      <c r="B53" s="57" t="s">
        <v>9</v>
      </c>
      <c r="C53" s="57" t="s">
        <v>93</v>
      </c>
      <c r="D53" s="57" t="s">
        <v>94</v>
      </c>
      <c r="E53" s="57" t="s">
        <v>95</v>
      </c>
      <c r="F53" s="57" t="s">
        <v>96</v>
      </c>
      <c r="G53" s="57" t="s">
        <v>97</v>
      </c>
      <c r="H53" s="57" t="s">
        <v>98</v>
      </c>
      <c r="I53"/>
      <c r="J53"/>
      <c r="K53"/>
    </row>
    <row r="54" spans="1:11" ht="14.4">
      <c r="A54" s="1"/>
      <c r="B54" s="55" t="s">
        <v>16</v>
      </c>
      <c r="C54" s="55">
        <v>15</v>
      </c>
      <c r="D54" s="55">
        <v>1570.34</v>
      </c>
      <c r="E54" s="55">
        <v>0.85</v>
      </c>
      <c r="F54" s="55">
        <v>0.8</v>
      </c>
      <c r="G54" s="55">
        <v>750.84</v>
      </c>
      <c r="H54" s="55">
        <v>1384.82</v>
      </c>
      <c r="I54"/>
      <c r="J54"/>
      <c r="K54"/>
    </row>
    <row r="55" spans="1:11" ht="14.4">
      <c r="A55" s="1"/>
      <c r="B55" s="55"/>
      <c r="C55" s="55">
        <v>20</v>
      </c>
      <c r="D55" s="55">
        <v>1700.71</v>
      </c>
      <c r="E55" s="55">
        <v>0.85</v>
      </c>
      <c r="F55" s="55">
        <v>0.8</v>
      </c>
      <c r="G55" s="55">
        <v>839.5</v>
      </c>
      <c r="H55" s="55">
        <v>1473.47</v>
      </c>
      <c r="I55"/>
      <c r="J55"/>
      <c r="K55"/>
    </row>
    <row r="56" spans="1:11" ht="14.4">
      <c r="A56" s="1"/>
      <c r="B56" s="55" t="s">
        <v>84</v>
      </c>
      <c r="C56" s="55" t="s">
        <v>83</v>
      </c>
      <c r="D56" s="55">
        <v>1761.04</v>
      </c>
      <c r="E56" s="55">
        <v>0.85</v>
      </c>
      <c r="F56" s="55">
        <v>-0.5</v>
      </c>
      <c r="G56" s="55">
        <v>-1065.43</v>
      </c>
      <c r="H56" s="55">
        <v>-431.45</v>
      </c>
      <c r="I56"/>
      <c r="J56"/>
      <c r="K56"/>
    </row>
    <row r="57" spans="1:11" ht="14.4">
      <c r="A57" s="1"/>
      <c r="B57" s="55" t="s">
        <v>99</v>
      </c>
      <c r="C57" s="55" t="s">
        <v>83</v>
      </c>
      <c r="D57" s="55">
        <v>1761.04</v>
      </c>
      <c r="E57" s="55">
        <v>0.85</v>
      </c>
      <c r="F57" s="55">
        <v>-0.7</v>
      </c>
      <c r="G57" s="55">
        <v>-1364.8</v>
      </c>
      <c r="H57" s="55">
        <v>-730.83</v>
      </c>
      <c r="I57"/>
      <c r="J57"/>
      <c r="K57"/>
    </row>
    <row r="58" spans="1:11" ht="14.4">
      <c r="A58" s="1"/>
      <c r="B58" s="55" t="s">
        <v>114</v>
      </c>
      <c r="C58" s="55" t="s">
        <v>100</v>
      </c>
      <c r="D58" s="55">
        <v>1761.04</v>
      </c>
      <c r="E58" s="55">
        <v>0.85</v>
      </c>
      <c r="F58" s="55">
        <v>-0.9</v>
      </c>
      <c r="G58" s="55">
        <v>-1664.18</v>
      </c>
      <c r="H58" s="55">
        <v>-1030.21</v>
      </c>
      <c r="I58"/>
      <c r="J58"/>
      <c r="K58"/>
    </row>
    <row r="59" spans="1:11" ht="14.4">
      <c r="A59" s="1"/>
      <c r="B59" s="55"/>
      <c r="C59" s="55" t="s">
        <v>100</v>
      </c>
      <c r="D59" s="55">
        <v>1761.04</v>
      </c>
      <c r="E59" s="55">
        <v>0.85</v>
      </c>
      <c r="F59" s="55">
        <v>-0.18</v>
      </c>
      <c r="G59" s="55">
        <v>-586.41999999999996</v>
      </c>
      <c r="H59" s="55">
        <v>47.55</v>
      </c>
      <c r="I59"/>
      <c r="J59"/>
      <c r="K59"/>
    </row>
    <row r="60" spans="1:11" ht="14.4">
      <c r="A60" s="1"/>
      <c r="B60" s="55" t="s">
        <v>103</v>
      </c>
      <c r="C60" s="55" t="s">
        <v>100</v>
      </c>
      <c r="D60" s="55">
        <v>1761.04</v>
      </c>
      <c r="E60" s="55">
        <v>0.85</v>
      </c>
      <c r="F60" s="55">
        <v>-0.9</v>
      </c>
      <c r="G60" s="55">
        <v>-1664.18</v>
      </c>
      <c r="H60" s="55">
        <v>-1030.21</v>
      </c>
      <c r="I60"/>
      <c r="J60"/>
      <c r="K60"/>
    </row>
    <row r="61" spans="1:11" ht="14.4">
      <c r="A61" s="1"/>
      <c r="B61" s="55"/>
      <c r="C61" s="55" t="s">
        <v>100</v>
      </c>
      <c r="D61" s="55">
        <v>1761.04</v>
      </c>
      <c r="E61" s="55">
        <v>0.85</v>
      </c>
      <c r="F61" s="55">
        <v>-0.18</v>
      </c>
      <c r="G61" s="55">
        <v>-586.41999999999996</v>
      </c>
      <c r="H61" s="55">
        <v>47.55</v>
      </c>
      <c r="I61"/>
      <c r="J61"/>
      <c r="K61"/>
    </row>
    <row r="62" spans="1:11" ht="14.4">
      <c r="A62" s="1"/>
      <c r="B62" s="55" t="s">
        <v>104</v>
      </c>
      <c r="C62" s="55" t="s">
        <v>100</v>
      </c>
      <c r="D62" s="55">
        <v>1761.04</v>
      </c>
      <c r="E62" s="55">
        <v>0.85</v>
      </c>
      <c r="F62" s="55">
        <v>-0.5</v>
      </c>
      <c r="G62" s="55">
        <v>-1065.43</v>
      </c>
      <c r="H62" s="55">
        <v>-431.45</v>
      </c>
      <c r="I62"/>
      <c r="J62"/>
      <c r="K62"/>
    </row>
    <row r="63" spans="1:11" ht="14.4">
      <c r="A63" s="1"/>
      <c r="B63" s="55"/>
      <c r="C63" s="55" t="s">
        <v>100</v>
      </c>
      <c r="D63" s="55">
        <v>1761.04</v>
      </c>
      <c r="E63" s="55">
        <v>0.85</v>
      </c>
      <c r="F63" s="55">
        <v>-0.18</v>
      </c>
      <c r="G63" s="55">
        <v>-586.41999999999996</v>
      </c>
      <c r="H63" s="55">
        <v>47.55</v>
      </c>
      <c r="I63"/>
      <c r="J63"/>
      <c r="K63"/>
    </row>
    <row r="64" spans="1:11" ht="14.4">
      <c r="A64" s="1"/>
      <c r="B64" s="55" t="s">
        <v>105</v>
      </c>
      <c r="C64" s="55" t="s">
        <v>100</v>
      </c>
      <c r="D64" s="55">
        <v>1761.04</v>
      </c>
      <c r="E64" s="55">
        <v>0.85</v>
      </c>
      <c r="F64" s="55">
        <v>-0.3</v>
      </c>
      <c r="G64" s="55">
        <v>-766.05</v>
      </c>
      <c r="H64" s="55">
        <v>-132.08000000000001</v>
      </c>
      <c r="I64"/>
      <c r="J64"/>
      <c r="K64"/>
    </row>
    <row r="65" spans="1:11" ht="14.4">
      <c r="A65" s="1"/>
      <c r="B65" s="56"/>
      <c r="C65" s="56" t="s">
        <v>100</v>
      </c>
      <c r="D65" s="56">
        <v>1761.04</v>
      </c>
      <c r="E65" s="56">
        <v>0.85</v>
      </c>
      <c r="F65" s="56">
        <v>-0.18</v>
      </c>
      <c r="G65" s="56">
        <v>-586.41999999999996</v>
      </c>
      <c r="H65" s="56">
        <v>47.55</v>
      </c>
      <c r="I65"/>
      <c r="J65"/>
      <c r="K65"/>
    </row>
    <row r="66" spans="1:11" ht="14.4">
      <c r="A66" s="1"/>
      <c r="B66"/>
      <c r="C66"/>
      <c r="D66"/>
      <c r="E66"/>
      <c r="F66"/>
      <c r="G66"/>
      <c r="H66"/>
      <c r="I66"/>
      <c r="J66"/>
      <c r="K66"/>
    </row>
    <row r="67" spans="1:11" ht="14.4">
      <c r="A67" s="1"/>
      <c r="B67" s="54" t="s">
        <v>101</v>
      </c>
      <c r="C67"/>
      <c r="D67"/>
      <c r="E67"/>
      <c r="F67"/>
      <c r="G67"/>
      <c r="H67"/>
      <c r="I67"/>
      <c r="J67"/>
      <c r="K67"/>
    </row>
    <row r="68" spans="1:11" ht="14.4">
      <c r="A68" s="1"/>
      <c r="B68" s="57" t="s">
        <v>9</v>
      </c>
      <c r="C68" s="57" t="s">
        <v>93</v>
      </c>
      <c r="D68" s="57" t="s">
        <v>94</v>
      </c>
      <c r="E68" s="57" t="s">
        <v>95</v>
      </c>
      <c r="F68" s="57" t="s">
        <v>96</v>
      </c>
      <c r="G68" s="57" t="s">
        <v>97</v>
      </c>
      <c r="H68" s="57" t="s">
        <v>98</v>
      </c>
      <c r="I68"/>
      <c r="J68"/>
      <c r="K68"/>
    </row>
    <row r="69" spans="1:11" ht="14.4">
      <c r="A69" s="1"/>
      <c r="B69" s="55" t="s">
        <v>16</v>
      </c>
      <c r="C69" s="55">
        <v>15</v>
      </c>
      <c r="D69" s="55">
        <v>1570.34</v>
      </c>
      <c r="E69" s="55">
        <v>0.85</v>
      </c>
      <c r="F69" s="55">
        <v>0.8</v>
      </c>
      <c r="G69" s="55">
        <v>750.84</v>
      </c>
      <c r="H69" s="55">
        <v>1384.82</v>
      </c>
      <c r="I69"/>
      <c r="J69"/>
      <c r="K69"/>
    </row>
    <row r="70" spans="1:11" ht="14.4">
      <c r="A70" s="1"/>
      <c r="B70" s="55"/>
      <c r="C70" s="55">
        <v>20</v>
      </c>
      <c r="D70" s="55">
        <v>1700.71</v>
      </c>
      <c r="E70" s="55">
        <v>0.85</v>
      </c>
      <c r="F70" s="55">
        <v>0.8</v>
      </c>
      <c r="G70" s="55">
        <v>839.5</v>
      </c>
      <c r="H70" s="55">
        <v>1473.47</v>
      </c>
      <c r="I70"/>
      <c r="J70"/>
      <c r="K70"/>
    </row>
    <row r="71" spans="1:11" ht="14.4">
      <c r="A71" s="1"/>
      <c r="B71" s="55"/>
      <c r="C71" s="55">
        <v>22.5</v>
      </c>
      <c r="D71" s="55">
        <v>1761.04</v>
      </c>
      <c r="E71" s="55">
        <v>0.85</v>
      </c>
      <c r="F71" s="55">
        <v>0.8</v>
      </c>
      <c r="G71" s="55">
        <v>880.52</v>
      </c>
      <c r="H71" s="55">
        <v>1514.49</v>
      </c>
      <c r="I71"/>
      <c r="J71"/>
      <c r="K71"/>
    </row>
    <row r="72" spans="1:11" ht="14.4">
      <c r="A72" s="1"/>
      <c r="B72" s="55"/>
      <c r="C72" s="55">
        <v>25</v>
      </c>
      <c r="D72" s="55">
        <v>1821.36</v>
      </c>
      <c r="E72" s="55">
        <v>0.85</v>
      </c>
      <c r="F72" s="55">
        <v>0.8</v>
      </c>
      <c r="G72" s="55">
        <v>921.54</v>
      </c>
      <c r="H72" s="55">
        <v>1555.51</v>
      </c>
      <c r="I72"/>
      <c r="J72"/>
      <c r="K72"/>
    </row>
    <row r="73" spans="1:11" ht="14.4">
      <c r="A73" s="1"/>
      <c r="B73" s="55" t="s">
        <v>84</v>
      </c>
      <c r="C73" s="55" t="s">
        <v>83</v>
      </c>
      <c r="D73" s="55">
        <v>1761.04</v>
      </c>
      <c r="E73" s="55">
        <v>0.85</v>
      </c>
      <c r="F73" s="55">
        <v>-0.5</v>
      </c>
      <c r="G73" s="55">
        <v>-1065.43</v>
      </c>
      <c r="H73" s="55">
        <v>-431.45</v>
      </c>
      <c r="I73"/>
      <c r="J73"/>
      <c r="K73"/>
    </row>
    <row r="74" spans="1:11" ht="14.4">
      <c r="A74" s="1"/>
      <c r="B74" s="55" t="s">
        <v>99</v>
      </c>
      <c r="C74" s="55" t="s">
        <v>83</v>
      </c>
      <c r="D74" s="55">
        <v>1761.04</v>
      </c>
      <c r="E74" s="55">
        <v>0.85</v>
      </c>
      <c r="F74" s="55">
        <v>-0.7</v>
      </c>
      <c r="G74" s="55">
        <v>-1364.8</v>
      </c>
      <c r="H74" s="55">
        <v>-730.83</v>
      </c>
      <c r="I74"/>
      <c r="J74"/>
      <c r="K74"/>
    </row>
    <row r="75" spans="1:11" ht="14.4">
      <c r="A75" s="1"/>
      <c r="B75" s="55" t="s">
        <v>102</v>
      </c>
      <c r="C75" s="55" t="s">
        <v>100</v>
      </c>
      <c r="D75" s="55">
        <v>1761.04</v>
      </c>
      <c r="E75" s="55">
        <v>0.85</v>
      </c>
      <c r="F75" s="55">
        <v>-0.9</v>
      </c>
      <c r="G75" s="55">
        <v>-1664.18</v>
      </c>
      <c r="H75" s="55">
        <v>-1030.21</v>
      </c>
      <c r="I75"/>
      <c r="J75"/>
      <c r="K75"/>
    </row>
    <row r="76" spans="1:11" ht="14.4">
      <c r="A76" s="1"/>
      <c r="B76" s="55"/>
      <c r="C76" s="55" t="s">
        <v>100</v>
      </c>
      <c r="D76" s="55">
        <v>1761.04</v>
      </c>
      <c r="E76" s="55">
        <v>0.85</v>
      </c>
      <c r="F76" s="55">
        <v>-0.18</v>
      </c>
      <c r="G76" s="55">
        <v>-586.41999999999996</v>
      </c>
      <c r="H76" s="55">
        <v>47.55</v>
      </c>
      <c r="I76"/>
      <c r="J76"/>
      <c r="K76"/>
    </row>
    <row r="77" spans="1:11" ht="14.4">
      <c r="A77" s="1"/>
      <c r="B77" s="55" t="s">
        <v>103</v>
      </c>
      <c r="C77" s="55" t="s">
        <v>100</v>
      </c>
      <c r="D77" s="55">
        <v>1761.04</v>
      </c>
      <c r="E77" s="55">
        <v>0.85</v>
      </c>
      <c r="F77" s="55">
        <v>-0.9</v>
      </c>
      <c r="G77" s="55">
        <v>-1664.18</v>
      </c>
      <c r="H77" s="55">
        <v>-1030.21</v>
      </c>
      <c r="I77"/>
      <c r="J77"/>
      <c r="K77"/>
    </row>
    <row r="78" spans="1:11" ht="14.4">
      <c r="A78" s="1"/>
      <c r="B78" s="55"/>
      <c r="C78" s="55" t="s">
        <v>100</v>
      </c>
      <c r="D78" s="55">
        <v>1761.04</v>
      </c>
      <c r="E78" s="55">
        <v>0.85</v>
      </c>
      <c r="F78" s="55">
        <v>-0.18</v>
      </c>
      <c r="G78" s="55">
        <v>-586.41999999999996</v>
      </c>
      <c r="H78" s="55">
        <v>47.55</v>
      </c>
      <c r="I78"/>
      <c r="J78"/>
      <c r="K78"/>
    </row>
    <row r="79" spans="1:11" ht="14.4">
      <c r="A79" s="1"/>
      <c r="B79" s="55" t="s">
        <v>104</v>
      </c>
      <c r="C79" s="55" t="s">
        <v>100</v>
      </c>
      <c r="D79" s="55">
        <v>1761.04</v>
      </c>
      <c r="E79" s="55">
        <v>0.85</v>
      </c>
      <c r="F79" s="55">
        <v>-0.5</v>
      </c>
      <c r="G79" s="55">
        <v>-1065.43</v>
      </c>
      <c r="H79" s="55">
        <v>-431.45</v>
      </c>
      <c r="I79"/>
      <c r="J79"/>
      <c r="K79"/>
    </row>
    <row r="80" spans="1:11" ht="14.4">
      <c r="A80" s="1"/>
      <c r="B80" s="55"/>
      <c r="C80" s="55" t="s">
        <v>100</v>
      </c>
      <c r="D80" s="55">
        <v>1761.04</v>
      </c>
      <c r="E80" s="55">
        <v>0.85</v>
      </c>
      <c r="F80" s="55">
        <v>-0.18</v>
      </c>
      <c r="G80" s="55">
        <v>-586.41999999999996</v>
      </c>
      <c r="H80" s="55">
        <v>47.55</v>
      </c>
      <c r="I80"/>
      <c r="J80"/>
      <c r="K80"/>
    </row>
    <row r="81" spans="1:11" ht="14.4">
      <c r="A81" s="1"/>
      <c r="B81" s="55" t="s">
        <v>105</v>
      </c>
      <c r="C81" s="55" t="s">
        <v>100</v>
      </c>
      <c r="D81" s="55">
        <v>1761.04</v>
      </c>
      <c r="E81" s="55">
        <v>0.85</v>
      </c>
      <c r="F81" s="55">
        <v>-0.3</v>
      </c>
      <c r="G81" s="55">
        <v>-766.05</v>
      </c>
      <c r="H81" s="55">
        <v>-132.08000000000001</v>
      </c>
      <c r="I81"/>
      <c r="J81"/>
      <c r="K81"/>
    </row>
    <row r="82" spans="1:11" ht="14.4">
      <c r="A82" s="1"/>
      <c r="B82" s="56"/>
      <c r="C82" s="56" t="s">
        <v>100</v>
      </c>
      <c r="D82" s="56">
        <v>1761.04</v>
      </c>
      <c r="E82" s="56">
        <v>0.85</v>
      </c>
      <c r="F82" s="56">
        <v>-0.18</v>
      </c>
      <c r="G82" s="56">
        <v>-586.41999999999996</v>
      </c>
      <c r="H82" s="56">
        <v>47.55</v>
      </c>
      <c r="I82"/>
      <c r="J82"/>
      <c r="K82"/>
    </row>
    <row r="83" spans="1:11" ht="14.4">
      <c r="A83" s="1"/>
      <c r="B83"/>
      <c r="C83"/>
      <c r="D83"/>
      <c r="E83"/>
      <c r="F83"/>
      <c r="G83"/>
      <c r="H83"/>
      <c r="I83"/>
      <c r="J83"/>
      <c r="K83"/>
    </row>
    <row r="84" spans="1:11" ht="14.4">
      <c r="A84" s="1"/>
      <c r="B84"/>
      <c r="C84"/>
      <c r="D84"/>
      <c r="E84"/>
      <c r="F84"/>
      <c r="G84"/>
      <c r="H84"/>
      <c r="I84"/>
      <c r="J84"/>
      <c r="K84"/>
    </row>
    <row r="85" spans="1:11" ht="14.4">
      <c r="A85" s="1"/>
      <c r="B85"/>
      <c r="C85"/>
      <c r="D85"/>
      <c r="E85"/>
      <c r="F85"/>
      <c r="G85"/>
      <c r="H85"/>
      <c r="I85"/>
      <c r="J85"/>
      <c r="K85"/>
    </row>
    <row r="86" spans="1:11" ht="14.4">
      <c r="A86" s="1"/>
      <c r="B86"/>
      <c r="C86"/>
      <c r="D86"/>
      <c r="E86"/>
      <c r="F86"/>
      <c r="G86"/>
      <c r="H86"/>
      <c r="I86"/>
      <c r="J86"/>
      <c r="K86"/>
    </row>
    <row r="87" spans="1:11" ht="14.4">
      <c r="A87" s="1"/>
      <c r="B87"/>
      <c r="C87"/>
      <c r="D87"/>
      <c r="E87"/>
      <c r="F87"/>
      <c r="G87"/>
      <c r="H87"/>
      <c r="I87"/>
      <c r="J87"/>
      <c r="K87"/>
    </row>
    <row r="88" spans="1:11" ht="14.4">
      <c r="A88" s="1"/>
      <c r="B88"/>
      <c r="C88"/>
      <c r="D88"/>
      <c r="E88"/>
      <c r="F88"/>
      <c r="G88"/>
      <c r="H88"/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20" xr:uid="{2F4C20CE-5F4A-4F56-AF8E-438B346E58B0}">
      <formula1>"GABLE ROOF, MONOSLOPE ROOF, MANSARD ROOF"</formula1>
    </dataValidation>
    <dataValidation type="list" allowBlank="1" showInputMessage="1" showErrorMessage="1" sqref="C2" xr:uid="{7669B174-1C51-44CE-BA32-17E36AD7952C}">
      <formula1>"Risk Category I, Risk Category II, Risk Category III, Risk Category IV"</formula1>
    </dataValidation>
    <dataValidation type="list" allowBlank="1" showInputMessage="1" showErrorMessage="1" sqref="C5" xr:uid="{E5263CC4-8A38-4FE9-8353-C94795F5241D}">
      <formula1>"B,C,D"</formula1>
    </dataValidation>
    <dataValidation type="list" allowBlank="1" showInputMessage="1" showErrorMessage="1" sqref="C15" xr:uid="{F0BDFA4A-7314-43CD-A5F0-2E9BA1ED3F18}">
      <formula1>"L,B"</formula1>
    </dataValidation>
    <dataValidation type="list" allowBlank="1" showInputMessage="1" showErrorMessage="1" sqref="C4" xr:uid="{2ADA19AE-CAF5-464E-B5F2-7F53FC1CB244}">
      <formula1>"Enclosed Buildings, Partially Enclosed Buildings, Partially Open Buildings, Open Buildings"</formula1>
    </dataValidation>
  </dataValidations>
  <pageMargins left="0.25" right="0.25" top="0.75" bottom="0.75" header="0.3" footer="0.3"/>
  <pageSetup paperSize="9" scale="54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CE4E-F45A-48E5-B358-4DBC50D76AE3}">
  <sheetPr codeName="Sheet1">
    <pageSetUpPr fitToPage="1"/>
  </sheetPr>
  <dimension ref="A1:AC1000"/>
  <sheetViews>
    <sheetView tabSelected="1" view="pageBreakPreview" topLeftCell="A3" zoomScale="83" zoomScaleNormal="100" zoomScaleSheetLayoutView="83" workbookViewId="0">
      <selection activeCell="E19" sqref="E19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64</v>
      </c>
      <c r="H2" s="1"/>
    </row>
    <row r="3" spans="1:29" ht="14.4">
      <c r="A3" s="1"/>
      <c r="B3" s="8" t="s">
        <v>66</v>
      </c>
      <c r="C3" s="9">
        <f>220*1000/3600</f>
        <v>61.111111111111114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39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15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67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68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69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70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0.18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-0.18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71</v>
      </c>
      <c r="C13" s="38">
        <v>180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72</v>
      </c>
      <c r="C14" s="15">
        <v>180</v>
      </c>
      <c r="D14" s="1"/>
      <c r="E14" s="1" t="s">
        <v>65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>
        <v>10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15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20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106</v>
      </c>
      <c r="C23" s="2"/>
      <c r="D23" s="58" t="s">
        <v>107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73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74</v>
      </c>
      <c r="C25" s="57" t="s">
        <v>75</v>
      </c>
      <c r="D25" s="57" t="s">
        <v>116</v>
      </c>
      <c r="E25" s="57" t="s">
        <v>76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10</v>
      </c>
      <c r="C26" s="55" t="s">
        <v>77</v>
      </c>
      <c r="D26" s="55">
        <v>1.177</v>
      </c>
      <c r="E26" s="55">
        <v>2290.3200000000002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15</v>
      </c>
      <c r="C27" s="55" t="s">
        <v>78</v>
      </c>
      <c r="D27" s="55">
        <v>1.2669999999999999</v>
      </c>
      <c r="E27" s="55">
        <v>2465.451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17.5</v>
      </c>
      <c r="C28" s="55" t="s">
        <v>79</v>
      </c>
      <c r="D28" s="55">
        <v>1.3029999999999999</v>
      </c>
      <c r="E28" s="55">
        <v>2535.5030000000002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6">
        <v>20</v>
      </c>
      <c r="C29" s="56" t="s">
        <v>80</v>
      </c>
      <c r="D29" s="56">
        <v>1.3280000000000001</v>
      </c>
      <c r="E29" s="56">
        <v>2584.1509999999998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/>
      <c r="C30"/>
      <c r="D30"/>
      <c r="E30"/>
      <c r="F30"/>
      <c r="G30"/>
      <c r="H30"/>
      <c r="I30"/>
      <c r="J30"/>
      <c r="K30"/>
    </row>
    <row r="31" spans="1:29" ht="14.4">
      <c r="A31" s="1"/>
      <c r="B31" s="54" t="s">
        <v>81</v>
      </c>
      <c r="C31"/>
      <c r="D31"/>
      <c r="E31"/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7" t="s">
        <v>9</v>
      </c>
      <c r="C32" s="57" t="s">
        <v>82</v>
      </c>
      <c r="D32" s="57" t="s">
        <v>10</v>
      </c>
      <c r="E32" s="57" t="s">
        <v>11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5" t="s">
        <v>16</v>
      </c>
      <c r="C33" s="55" t="s">
        <v>83</v>
      </c>
      <c r="D33" s="55" t="s">
        <v>83</v>
      </c>
      <c r="E33" s="55">
        <v>0.8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 s="55" t="s">
        <v>84</v>
      </c>
      <c r="C34" s="55" t="s">
        <v>85</v>
      </c>
      <c r="D34" s="55">
        <v>1</v>
      </c>
      <c r="E34" s="55">
        <v>-0.5</v>
      </c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5"/>
      <c r="C35" s="55" t="s">
        <v>86</v>
      </c>
      <c r="D35" s="55">
        <v>1</v>
      </c>
      <c r="E35" s="55">
        <v>-0.5</v>
      </c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6" t="s">
        <v>87</v>
      </c>
      <c r="C36" s="56" t="s">
        <v>83</v>
      </c>
      <c r="D36" s="56" t="s">
        <v>83</v>
      </c>
      <c r="E36" s="56">
        <v>-0.7</v>
      </c>
      <c r="F36"/>
      <c r="G36"/>
      <c r="H36"/>
      <c r="I36"/>
      <c r="J36"/>
      <c r="K36"/>
    </row>
    <row r="37" spans="1:15" ht="14.4">
      <c r="A37" s="1"/>
      <c r="B37"/>
      <c r="C37"/>
      <c r="D37"/>
      <c r="E37"/>
      <c r="F37"/>
      <c r="G37"/>
      <c r="H37"/>
      <c r="I37"/>
      <c r="J37"/>
      <c r="K37"/>
    </row>
    <row r="38" spans="1:15" ht="14.4">
      <c r="A38" s="1"/>
      <c r="B38" s="54" t="s">
        <v>88</v>
      </c>
      <c r="C38"/>
      <c r="D38"/>
      <c r="E38"/>
      <c r="F38"/>
      <c r="G38"/>
      <c r="H38"/>
      <c r="I38"/>
      <c r="J38"/>
      <c r="K38"/>
    </row>
    <row r="39" spans="1:15" ht="14.4">
      <c r="A39" s="1"/>
      <c r="B39" s="57" t="s">
        <v>9</v>
      </c>
      <c r="C39" s="57" t="s">
        <v>90</v>
      </c>
      <c r="D39" s="57" t="s">
        <v>112</v>
      </c>
      <c r="E39"/>
      <c r="F39"/>
      <c r="G39"/>
      <c r="H39"/>
      <c r="I39"/>
      <c r="J39"/>
      <c r="K39"/>
    </row>
    <row r="40" spans="1:15" ht="14.4">
      <c r="A40" s="1"/>
      <c r="B40" s="55" t="s">
        <v>113</v>
      </c>
      <c r="C40" s="55" t="s">
        <v>31</v>
      </c>
      <c r="D40" s="55" t="s">
        <v>109</v>
      </c>
      <c r="E40"/>
      <c r="F40"/>
      <c r="G40"/>
      <c r="H40"/>
      <c r="I40"/>
      <c r="J40"/>
      <c r="K40"/>
    </row>
    <row r="41" spans="1:15" ht="14.4">
      <c r="A41" s="1"/>
      <c r="B41" s="55"/>
      <c r="C41" s="55" t="s">
        <v>32</v>
      </c>
      <c r="D41" s="55" t="s">
        <v>109</v>
      </c>
      <c r="E41"/>
      <c r="F41"/>
      <c r="G41"/>
      <c r="H41"/>
      <c r="I41"/>
      <c r="J41"/>
      <c r="K41"/>
    </row>
    <row r="42" spans="1:15" ht="14.4">
      <c r="A42" s="1"/>
      <c r="B42" s="55"/>
      <c r="C42" s="55" t="s">
        <v>33</v>
      </c>
      <c r="D42" s="55" t="s">
        <v>110</v>
      </c>
      <c r="E42"/>
      <c r="F42"/>
      <c r="G42"/>
      <c r="H42"/>
      <c r="I42"/>
      <c r="J42"/>
      <c r="K42"/>
    </row>
    <row r="43" spans="1:15" ht="14.4">
      <c r="A43" s="1"/>
      <c r="B43" s="56"/>
      <c r="C43" s="56" t="s">
        <v>34</v>
      </c>
      <c r="D43" s="56" t="s">
        <v>111</v>
      </c>
      <c r="E43"/>
      <c r="F43"/>
      <c r="G43"/>
      <c r="H43"/>
      <c r="I43"/>
      <c r="J43"/>
      <c r="K43"/>
    </row>
    <row r="44" spans="1:15" ht="14.4">
      <c r="A44" s="1"/>
      <c r="B44"/>
      <c r="C44"/>
      <c r="D44"/>
      <c r="E44"/>
      <c r="F44"/>
      <c r="G44"/>
      <c r="H44"/>
      <c r="I44"/>
      <c r="J44"/>
      <c r="K44"/>
    </row>
    <row r="45" spans="1:15" ht="14.4">
      <c r="A45" s="1"/>
      <c r="B45" s="54" t="s">
        <v>89</v>
      </c>
      <c r="C45"/>
      <c r="D45"/>
      <c r="E45"/>
      <c r="F45"/>
      <c r="G45"/>
      <c r="H45"/>
      <c r="I45"/>
      <c r="J45"/>
      <c r="K45"/>
    </row>
    <row r="46" spans="1:15" ht="14.4">
      <c r="A46" s="1"/>
      <c r="B46" s="57" t="s">
        <v>9</v>
      </c>
      <c r="C46" s="57" t="s">
        <v>90</v>
      </c>
      <c r="D46" s="57" t="s">
        <v>112</v>
      </c>
      <c r="E46"/>
      <c r="F46"/>
      <c r="G46"/>
      <c r="H46"/>
      <c r="I46"/>
      <c r="J46"/>
      <c r="K46"/>
    </row>
    <row r="47" spans="1:15" ht="14.4">
      <c r="A47" s="1"/>
      <c r="B47" s="55" t="s">
        <v>91</v>
      </c>
      <c r="C47" s="55" t="s">
        <v>31</v>
      </c>
      <c r="D47" s="55" t="s">
        <v>109</v>
      </c>
      <c r="E47"/>
      <c r="F47"/>
      <c r="G47"/>
      <c r="H47"/>
      <c r="I47"/>
      <c r="J47"/>
      <c r="K47"/>
    </row>
    <row r="48" spans="1:15" ht="14.4">
      <c r="A48" s="1"/>
      <c r="B48" s="55"/>
      <c r="C48" s="55" t="s">
        <v>32</v>
      </c>
      <c r="D48" s="55" t="s">
        <v>109</v>
      </c>
      <c r="E48"/>
      <c r="F48"/>
      <c r="G48"/>
      <c r="H48"/>
      <c r="I48"/>
      <c r="J48"/>
      <c r="K48"/>
    </row>
    <row r="49" spans="1:11" ht="14.4">
      <c r="A49" s="1"/>
      <c r="B49" s="55"/>
      <c r="C49" s="55" t="s">
        <v>33</v>
      </c>
      <c r="D49" s="55" t="s">
        <v>110</v>
      </c>
      <c r="E49"/>
      <c r="F49"/>
      <c r="G49"/>
      <c r="H49"/>
      <c r="I49"/>
      <c r="J49"/>
      <c r="K49"/>
    </row>
    <row r="50" spans="1:11" ht="14.4">
      <c r="A50" s="1"/>
      <c r="B50" s="56"/>
      <c r="C50" s="56" t="s">
        <v>34</v>
      </c>
      <c r="D50" s="56" t="s">
        <v>111</v>
      </c>
      <c r="E50"/>
      <c r="F50"/>
      <c r="G50"/>
      <c r="H50"/>
      <c r="I50"/>
      <c r="J50"/>
      <c r="K50"/>
    </row>
    <row r="51" spans="1:11" ht="14.4">
      <c r="A51" s="1"/>
      <c r="B51"/>
      <c r="C51"/>
      <c r="D51"/>
      <c r="E51"/>
      <c r="F51"/>
      <c r="G51"/>
      <c r="H51"/>
      <c r="I51"/>
      <c r="J51"/>
      <c r="K51"/>
    </row>
    <row r="52" spans="1:11" ht="14.4">
      <c r="A52" s="1"/>
      <c r="B52" s="54" t="s">
        <v>92</v>
      </c>
      <c r="C52"/>
      <c r="D52"/>
      <c r="E52"/>
      <c r="F52"/>
      <c r="G52"/>
      <c r="H52"/>
      <c r="I52"/>
      <c r="J52"/>
      <c r="K52"/>
    </row>
    <row r="53" spans="1:11" ht="14.4">
      <c r="A53" s="1"/>
      <c r="B53" s="57" t="s">
        <v>9</v>
      </c>
      <c r="C53" s="57" t="s">
        <v>93</v>
      </c>
      <c r="D53" s="57" t="s">
        <v>94</v>
      </c>
      <c r="E53" s="57" t="s">
        <v>95</v>
      </c>
      <c r="F53" s="57" t="s">
        <v>96</v>
      </c>
      <c r="G53" s="57" t="s">
        <v>97</v>
      </c>
      <c r="H53" s="57" t="s">
        <v>98</v>
      </c>
      <c r="I53"/>
      <c r="J53"/>
      <c r="K53"/>
    </row>
    <row r="54" spans="1:11" ht="14.4">
      <c r="A54" s="1"/>
      <c r="B54" s="55" t="s">
        <v>16</v>
      </c>
      <c r="C54" s="55">
        <v>10</v>
      </c>
      <c r="D54" s="55">
        <v>2290.3200000000002</v>
      </c>
      <c r="E54" s="55">
        <v>0.85</v>
      </c>
      <c r="F54" s="55">
        <v>0.8</v>
      </c>
      <c r="G54" s="55">
        <v>1101.03</v>
      </c>
      <c r="H54" s="55">
        <v>2013.81</v>
      </c>
      <c r="I54"/>
      <c r="J54"/>
      <c r="K54"/>
    </row>
    <row r="55" spans="1:11" ht="14.4">
      <c r="A55" s="1"/>
      <c r="B55" s="55"/>
      <c r="C55" s="55">
        <v>15</v>
      </c>
      <c r="D55" s="55">
        <v>2465.4499999999998</v>
      </c>
      <c r="E55" s="55">
        <v>0.85</v>
      </c>
      <c r="F55" s="55">
        <v>0.8</v>
      </c>
      <c r="G55" s="55">
        <v>1220.1199999999999</v>
      </c>
      <c r="H55" s="55">
        <v>2132.9</v>
      </c>
      <c r="I55"/>
      <c r="J55"/>
      <c r="K55"/>
    </row>
    <row r="56" spans="1:11" ht="14.4">
      <c r="A56" s="1"/>
      <c r="B56" s="55" t="s">
        <v>84</v>
      </c>
      <c r="C56" s="55" t="s">
        <v>83</v>
      </c>
      <c r="D56" s="55">
        <v>2535.5</v>
      </c>
      <c r="E56" s="55">
        <v>0.85</v>
      </c>
      <c r="F56" s="55">
        <v>-0.5</v>
      </c>
      <c r="G56" s="55">
        <v>-1533.98</v>
      </c>
      <c r="H56" s="55">
        <v>-621.20000000000005</v>
      </c>
      <c r="I56"/>
      <c r="J56"/>
      <c r="K56"/>
    </row>
    <row r="57" spans="1:11" ht="14.4">
      <c r="A57" s="1"/>
      <c r="B57" s="55" t="s">
        <v>99</v>
      </c>
      <c r="C57" s="55" t="s">
        <v>83</v>
      </c>
      <c r="D57" s="55">
        <v>2535.5</v>
      </c>
      <c r="E57" s="55">
        <v>0.85</v>
      </c>
      <c r="F57" s="55">
        <v>-0.7</v>
      </c>
      <c r="G57" s="55">
        <v>-1965.01</v>
      </c>
      <c r="H57" s="55">
        <v>-1052.23</v>
      </c>
      <c r="I57"/>
      <c r="J57"/>
      <c r="K57"/>
    </row>
    <row r="58" spans="1:11" ht="14.4">
      <c r="A58" s="1"/>
      <c r="B58" s="55" t="s">
        <v>114</v>
      </c>
      <c r="C58" s="55" t="s">
        <v>100</v>
      </c>
      <c r="D58" s="55">
        <v>2535.5</v>
      </c>
      <c r="E58" s="55">
        <v>0.85</v>
      </c>
      <c r="F58" s="55">
        <v>-0.9</v>
      </c>
      <c r="G58" s="55">
        <v>-2396.0500000000002</v>
      </c>
      <c r="H58" s="55">
        <v>-1483.27</v>
      </c>
      <c r="I58"/>
      <c r="J58"/>
      <c r="K58"/>
    </row>
    <row r="59" spans="1:11" ht="14.4">
      <c r="A59" s="1"/>
      <c r="B59" s="55"/>
      <c r="C59" s="55" t="s">
        <v>100</v>
      </c>
      <c r="D59" s="55">
        <v>2535.5</v>
      </c>
      <c r="E59" s="55">
        <v>0.85</v>
      </c>
      <c r="F59" s="55">
        <v>-0.18</v>
      </c>
      <c r="G59" s="55">
        <v>-844.32</v>
      </c>
      <c r="H59" s="55">
        <v>68.459999999999994</v>
      </c>
      <c r="I59"/>
      <c r="J59"/>
      <c r="K59"/>
    </row>
    <row r="60" spans="1:11" ht="14.4">
      <c r="A60" s="1"/>
      <c r="B60" s="55" t="s">
        <v>103</v>
      </c>
      <c r="C60" s="55" t="s">
        <v>100</v>
      </c>
      <c r="D60" s="55">
        <v>2535.5</v>
      </c>
      <c r="E60" s="55">
        <v>0.85</v>
      </c>
      <c r="F60" s="55">
        <v>-0.9</v>
      </c>
      <c r="G60" s="55">
        <v>-2396.0500000000002</v>
      </c>
      <c r="H60" s="55">
        <v>-1483.27</v>
      </c>
      <c r="I60"/>
      <c r="J60"/>
      <c r="K60"/>
    </row>
    <row r="61" spans="1:11" ht="14.4">
      <c r="A61" s="1"/>
      <c r="B61" s="55"/>
      <c r="C61" s="55" t="s">
        <v>100</v>
      </c>
      <c r="D61" s="55">
        <v>2535.5</v>
      </c>
      <c r="E61" s="55">
        <v>0.85</v>
      </c>
      <c r="F61" s="55">
        <v>-0.18</v>
      </c>
      <c r="G61" s="55">
        <v>-844.32</v>
      </c>
      <c r="H61" s="55">
        <v>68.459999999999994</v>
      </c>
      <c r="I61"/>
      <c r="J61"/>
      <c r="K61"/>
    </row>
    <row r="62" spans="1:11" ht="14.4">
      <c r="A62" s="1"/>
      <c r="B62" s="55" t="s">
        <v>104</v>
      </c>
      <c r="C62" s="55" t="s">
        <v>100</v>
      </c>
      <c r="D62" s="55">
        <v>2535.5</v>
      </c>
      <c r="E62" s="55">
        <v>0.85</v>
      </c>
      <c r="F62" s="55">
        <v>-0.5</v>
      </c>
      <c r="G62" s="55">
        <v>-1533.98</v>
      </c>
      <c r="H62" s="55">
        <v>-621.20000000000005</v>
      </c>
      <c r="I62"/>
      <c r="J62"/>
      <c r="K62"/>
    </row>
    <row r="63" spans="1:11" ht="14.4">
      <c r="A63" s="1"/>
      <c r="B63" s="55"/>
      <c r="C63" s="55" t="s">
        <v>100</v>
      </c>
      <c r="D63" s="55">
        <v>2535.5</v>
      </c>
      <c r="E63" s="55">
        <v>0.85</v>
      </c>
      <c r="F63" s="55">
        <v>-0.18</v>
      </c>
      <c r="G63" s="55">
        <v>-844.32</v>
      </c>
      <c r="H63" s="55">
        <v>68.459999999999994</v>
      </c>
      <c r="I63"/>
      <c r="J63"/>
      <c r="K63"/>
    </row>
    <row r="64" spans="1:11" ht="14.4">
      <c r="A64" s="1"/>
      <c r="B64" s="55" t="s">
        <v>105</v>
      </c>
      <c r="C64" s="55" t="s">
        <v>100</v>
      </c>
      <c r="D64" s="55">
        <v>2535.5</v>
      </c>
      <c r="E64" s="55">
        <v>0.85</v>
      </c>
      <c r="F64" s="55">
        <v>-0.3</v>
      </c>
      <c r="G64" s="55">
        <v>-1102.94</v>
      </c>
      <c r="H64" s="55">
        <v>-190.16</v>
      </c>
      <c r="I64"/>
      <c r="J64"/>
      <c r="K64"/>
    </row>
    <row r="65" spans="1:11" ht="14.4">
      <c r="A65" s="1"/>
      <c r="B65" s="56"/>
      <c r="C65" s="56" t="s">
        <v>100</v>
      </c>
      <c r="D65" s="56">
        <v>2535.5</v>
      </c>
      <c r="E65" s="56">
        <v>0.85</v>
      </c>
      <c r="F65" s="56">
        <v>-0.18</v>
      </c>
      <c r="G65" s="56">
        <v>-844.32</v>
      </c>
      <c r="H65" s="56">
        <v>68.459999999999994</v>
      </c>
      <c r="I65"/>
      <c r="J65"/>
      <c r="K65"/>
    </row>
    <row r="66" spans="1:11" ht="14.4">
      <c r="A66" s="1"/>
      <c r="B66"/>
      <c r="C66"/>
      <c r="D66"/>
      <c r="E66"/>
      <c r="F66"/>
      <c r="G66"/>
      <c r="H66"/>
      <c r="I66"/>
      <c r="J66"/>
      <c r="K66"/>
    </row>
    <row r="67" spans="1:11" ht="14.4">
      <c r="A67" s="1"/>
      <c r="B67" s="54" t="s">
        <v>101</v>
      </c>
      <c r="C67"/>
      <c r="D67"/>
      <c r="E67"/>
      <c r="F67"/>
      <c r="G67"/>
      <c r="H67"/>
      <c r="I67"/>
      <c r="J67"/>
      <c r="K67"/>
    </row>
    <row r="68" spans="1:11" ht="14.4">
      <c r="A68" s="1"/>
      <c r="B68" s="57" t="s">
        <v>9</v>
      </c>
      <c r="C68" s="57" t="s">
        <v>93</v>
      </c>
      <c r="D68" s="57" t="s">
        <v>94</v>
      </c>
      <c r="E68" s="57" t="s">
        <v>95</v>
      </c>
      <c r="F68" s="57" t="s">
        <v>96</v>
      </c>
      <c r="G68" s="57" t="s">
        <v>97</v>
      </c>
      <c r="H68" s="57" t="s">
        <v>98</v>
      </c>
      <c r="I68"/>
      <c r="J68"/>
      <c r="K68"/>
    </row>
    <row r="69" spans="1:11" ht="14.4">
      <c r="A69" s="1"/>
      <c r="B69" s="55" t="s">
        <v>16</v>
      </c>
      <c r="C69" s="55">
        <v>10</v>
      </c>
      <c r="D69" s="55">
        <v>2290.3200000000002</v>
      </c>
      <c r="E69" s="55">
        <v>0.85</v>
      </c>
      <c r="F69" s="55">
        <v>0.8</v>
      </c>
      <c r="G69" s="55">
        <v>1101.03</v>
      </c>
      <c r="H69" s="55">
        <v>2013.81</v>
      </c>
      <c r="I69"/>
      <c r="J69"/>
      <c r="K69"/>
    </row>
    <row r="70" spans="1:11" ht="14.4">
      <c r="A70" s="1"/>
      <c r="B70" s="55"/>
      <c r="C70" s="55">
        <v>15</v>
      </c>
      <c r="D70" s="55">
        <v>2465.4499999999998</v>
      </c>
      <c r="E70" s="55">
        <v>0.85</v>
      </c>
      <c r="F70" s="55">
        <v>0.8</v>
      </c>
      <c r="G70" s="55">
        <v>1220.1199999999999</v>
      </c>
      <c r="H70" s="55">
        <v>2132.9</v>
      </c>
      <c r="I70"/>
      <c r="J70"/>
      <c r="K70"/>
    </row>
    <row r="71" spans="1:11" ht="14.4">
      <c r="A71" s="1"/>
      <c r="B71" s="55"/>
      <c r="C71" s="55">
        <v>17.5</v>
      </c>
      <c r="D71" s="55">
        <v>2535.5</v>
      </c>
      <c r="E71" s="55">
        <v>0.85</v>
      </c>
      <c r="F71" s="55">
        <v>0.8</v>
      </c>
      <c r="G71" s="55">
        <v>1267.75</v>
      </c>
      <c r="H71" s="55">
        <v>2180.5300000000002</v>
      </c>
      <c r="I71"/>
      <c r="J71"/>
      <c r="K71"/>
    </row>
    <row r="72" spans="1:11" ht="14.4">
      <c r="A72" s="1"/>
      <c r="B72" s="55"/>
      <c r="C72" s="55">
        <v>20</v>
      </c>
      <c r="D72" s="55">
        <v>2584.15</v>
      </c>
      <c r="E72" s="55">
        <v>0.85</v>
      </c>
      <c r="F72" s="55">
        <v>0.8</v>
      </c>
      <c r="G72" s="55">
        <v>1300.83</v>
      </c>
      <c r="H72" s="55">
        <v>2213.61</v>
      </c>
      <c r="I72"/>
      <c r="J72"/>
      <c r="K72"/>
    </row>
    <row r="73" spans="1:11" ht="14.4">
      <c r="A73" s="1"/>
      <c r="B73" s="55" t="s">
        <v>84</v>
      </c>
      <c r="C73" s="55" t="s">
        <v>83</v>
      </c>
      <c r="D73" s="55">
        <v>2535.5</v>
      </c>
      <c r="E73" s="55">
        <v>0.85</v>
      </c>
      <c r="F73" s="55">
        <v>-0.5</v>
      </c>
      <c r="G73" s="55">
        <v>-1533.98</v>
      </c>
      <c r="H73" s="55">
        <v>-621.20000000000005</v>
      </c>
      <c r="I73"/>
      <c r="J73"/>
      <c r="K73"/>
    </row>
    <row r="74" spans="1:11" ht="14.4">
      <c r="A74" s="1"/>
      <c r="B74" s="55" t="s">
        <v>99</v>
      </c>
      <c r="C74" s="55" t="s">
        <v>83</v>
      </c>
      <c r="D74" s="55">
        <v>2535.5</v>
      </c>
      <c r="E74" s="55">
        <v>0.85</v>
      </c>
      <c r="F74" s="55">
        <v>-0.7</v>
      </c>
      <c r="G74" s="55">
        <v>-1965.01</v>
      </c>
      <c r="H74" s="55">
        <v>-1052.23</v>
      </c>
      <c r="I74"/>
      <c r="J74"/>
      <c r="K74"/>
    </row>
    <row r="75" spans="1:11" ht="14.4">
      <c r="A75" s="1"/>
      <c r="B75" s="55" t="s">
        <v>102</v>
      </c>
      <c r="C75" s="55" t="s">
        <v>100</v>
      </c>
      <c r="D75" s="55">
        <v>2535.5</v>
      </c>
      <c r="E75" s="55">
        <v>0.85</v>
      </c>
      <c r="F75" s="55">
        <v>-0.9</v>
      </c>
      <c r="G75" s="55">
        <v>-2396.0500000000002</v>
      </c>
      <c r="H75" s="55">
        <v>-1483.27</v>
      </c>
      <c r="I75"/>
      <c r="J75"/>
      <c r="K75"/>
    </row>
    <row r="76" spans="1:11" ht="14.4">
      <c r="A76" s="1"/>
      <c r="B76" s="55"/>
      <c r="C76" s="55" t="s">
        <v>100</v>
      </c>
      <c r="D76" s="55">
        <v>2535.5</v>
      </c>
      <c r="E76" s="55">
        <v>0.85</v>
      </c>
      <c r="F76" s="55">
        <v>-0.18</v>
      </c>
      <c r="G76" s="55">
        <v>-844.32</v>
      </c>
      <c r="H76" s="55">
        <v>68.459999999999994</v>
      </c>
      <c r="I76"/>
      <c r="J76"/>
      <c r="K76"/>
    </row>
    <row r="77" spans="1:11" ht="14.4">
      <c r="A77" s="1"/>
      <c r="B77" s="55" t="s">
        <v>103</v>
      </c>
      <c r="C77" s="55" t="s">
        <v>100</v>
      </c>
      <c r="D77" s="55">
        <v>2535.5</v>
      </c>
      <c r="E77" s="55">
        <v>0.85</v>
      </c>
      <c r="F77" s="55">
        <v>-0.9</v>
      </c>
      <c r="G77" s="55">
        <v>-2396.0500000000002</v>
      </c>
      <c r="H77" s="55">
        <v>-1483.27</v>
      </c>
      <c r="I77"/>
      <c r="J77"/>
      <c r="K77"/>
    </row>
    <row r="78" spans="1:11" ht="14.4">
      <c r="A78" s="1"/>
      <c r="B78" s="55"/>
      <c r="C78" s="55" t="s">
        <v>100</v>
      </c>
      <c r="D78" s="55">
        <v>2535.5</v>
      </c>
      <c r="E78" s="55">
        <v>0.85</v>
      </c>
      <c r="F78" s="55">
        <v>-0.18</v>
      </c>
      <c r="G78" s="55">
        <v>-844.32</v>
      </c>
      <c r="H78" s="55">
        <v>68.459999999999994</v>
      </c>
      <c r="I78"/>
      <c r="J78"/>
      <c r="K78"/>
    </row>
    <row r="79" spans="1:11" ht="14.4">
      <c r="A79" s="1"/>
      <c r="B79" s="55" t="s">
        <v>104</v>
      </c>
      <c r="C79" s="55" t="s">
        <v>100</v>
      </c>
      <c r="D79" s="55">
        <v>2535.5</v>
      </c>
      <c r="E79" s="55">
        <v>0.85</v>
      </c>
      <c r="F79" s="55">
        <v>-0.5</v>
      </c>
      <c r="G79" s="55">
        <v>-1533.98</v>
      </c>
      <c r="H79" s="55">
        <v>-621.20000000000005</v>
      </c>
      <c r="I79"/>
      <c r="J79"/>
      <c r="K79"/>
    </row>
    <row r="80" spans="1:11" ht="14.4">
      <c r="A80" s="1"/>
      <c r="B80" s="55"/>
      <c r="C80" s="55" t="s">
        <v>100</v>
      </c>
      <c r="D80" s="55">
        <v>2535.5</v>
      </c>
      <c r="E80" s="55">
        <v>0.85</v>
      </c>
      <c r="F80" s="55">
        <v>-0.18</v>
      </c>
      <c r="G80" s="55">
        <v>-844.32</v>
      </c>
      <c r="H80" s="55">
        <v>68.459999999999994</v>
      </c>
      <c r="I80"/>
      <c r="J80"/>
      <c r="K80"/>
    </row>
    <row r="81" spans="1:11" ht="14.4">
      <c r="A81" s="1"/>
      <c r="B81" s="55" t="s">
        <v>105</v>
      </c>
      <c r="C81" s="55" t="s">
        <v>100</v>
      </c>
      <c r="D81" s="55">
        <v>2535.5</v>
      </c>
      <c r="E81" s="55">
        <v>0.85</v>
      </c>
      <c r="F81" s="55">
        <v>-0.3</v>
      </c>
      <c r="G81" s="55">
        <v>-1102.94</v>
      </c>
      <c r="H81" s="55">
        <v>-190.16</v>
      </c>
      <c r="I81"/>
      <c r="J81"/>
      <c r="K81"/>
    </row>
    <row r="82" spans="1:11" ht="14.4">
      <c r="A82" s="1"/>
      <c r="B82" s="56"/>
      <c r="C82" s="56" t="s">
        <v>100</v>
      </c>
      <c r="D82" s="56">
        <v>2535.5</v>
      </c>
      <c r="E82" s="56">
        <v>0.85</v>
      </c>
      <c r="F82" s="56">
        <v>-0.18</v>
      </c>
      <c r="G82" s="56">
        <v>-844.32</v>
      </c>
      <c r="H82" s="56">
        <v>68.459999999999994</v>
      </c>
      <c r="I82"/>
      <c r="J82"/>
      <c r="K82"/>
    </row>
    <row r="83" spans="1:11" ht="14.4">
      <c r="A83" s="1"/>
      <c r="B83"/>
      <c r="C83"/>
      <c r="D83"/>
      <c r="E83"/>
      <c r="F83"/>
      <c r="G83"/>
      <c r="H83"/>
      <c r="I83"/>
      <c r="J83"/>
      <c r="K83"/>
    </row>
    <row r="84" spans="1:11" ht="14.4">
      <c r="A84" s="1"/>
      <c r="B84"/>
      <c r="C84"/>
      <c r="D84"/>
      <c r="E84"/>
      <c r="F84"/>
      <c r="G84"/>
      <c r="H84"/>
      <c r="I84"/>
      <c r="J84"/>
      <c r="K84"/>
    </row>
    <row r="85" spans="1:11" ht="14.4">
      <c r="A85" s="1"/>
      <c r="B85"/>
      <c r="C85"/>
      <c r="D85"/>
      <c r="E85"/>
      <c r="F85"/>
      <c r="G85"/>
      <c r="H85"/>
      <c r="I85"/>
      <c r="J85"/>
      <c r="K85"/>
    </row>
    <row r="86" spans="1:11" ht="14.4">
      <c r="A86" s="1"/>
      <c r="B86"/>
      <c r="C86"/>
      <c r="D86"/>
      <c r="E86"/>
      <c r="F86"/>
      <c r="G86"/>
      <c r="H86"/>
      <c r="I86"/>
      <c r="J86"/>
      <c r="K86"/>
    </row>
    <row r="87" spans="1:11" ht="14.4">
      <c r="A87" s="1"/>
      <c r="B87"/>
      <c r="C87"/>
      <c r="D87"/>
      <c r="E87"/>
      <c r="F87"/>
      <c r="G87"/>
      <c r="H87"/>
      <c r="I87"/>
      <c r="J87"/>
      <c r="K87"/>
    </row>
    <row r="88" spans="1:11" ht="14.4">
      <c r="A88" s="1"/>
      <c r="B88"/>
      <c r="C88"/>
      <c r="D88"/>
      <c r="E88"/>
      <c r="F88"/>
      <c r="G88"/>
      <c r="H88"/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4" xr:uid="{744897E9-9AEE-4B04-A200-6C408D4E142A}">
      <formula1>"Enclosed Buildings, Partially Enclosed Buildings, Partially Open Buildings, Open Buildings"</formula1>
    </dataValidation>
    <dataValidation type="list" allowBlank="1" showInputMessage="1" showErrorMessage="1" sqref="C15" xr:uid="{5B6F2F8C-8A1D-4767-B60A-D05B72962F1C}">
      <formula1>"L,B"</formula1>
    </dataValidation>
    <dataValidation type="list" allowBlank="1" showInputMessage="1" showErrorMessage="1" sqref="C5" xr:uid="{262127A6-6593-416E-A15B-777B6435602E}">
      <formula1>"B,C,D"</formula1>
    </dataValidation>
    <dataValidation type="list" allowBlank="1" showInputMessage="1" showErrorMessage="1" sqref="C2" xr:uid="{07CE9C56-FCDA-43C2-9EDF-B409251AC9BD}">
      <formula1>"Risk Category I, Risk Category II, Risk Category III, Risk Category IV"</formula1>
    </dataValidation>
    <dataValidation type="list" allowBlank="1" showInputMessage="1" showErrorMessage="1" sqref="C20" xr:uid="{416CB2B2-4E66-44C0-B393-2979C1ED6166}">
      <formula1>"GABLE ROOF, MONOSLOPE ROOF, MANSARD ROOF"</formula1>
    </dataValidation>
  </dataValidations>
  <pageMargins left="0.25" right="0.25" top="0.75" bottom="0.75" header="0.3" footer="0.3"/>
  <pageSetup paperSize="9" scale="54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DIRECTIONAL - MWFRS (ASCE 7 (2)</vt:lpstr>
      <vt:lpstr>DIRECTIONAL - MWFRS (ASCE 7)</vt:lpstr>
      <vt:lpstr>'DIRECTIONAL - MWFRS (ASCE 7 (2)'!Print_Area</vt:lpstr>
      <vt:lpstr>'DIRECTIONAL - MWFRS (ASCE 7)'!Print_Area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2026-07-21T07:57:34Z</cp:lastPrinted>
  <dcterms:created xsi:type="dcterms:W3CDTF">2026-07-04T11:58:28Z</dcterms:created>
  <dcterms:modified xsi:type="dcterms:W3CDTF">2026-10-01T10:08:07Z</dcterms:modified>
</cp:coreProperties>
</file>